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comments3.xml" ContentType="application/vnd.openxmlformats-officedocument.spreadsheetml.comments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xl/comments4.xml" ContentType="application/vnd.openxmlformats-officedocument.spreadsheetml.comments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drawings/drawing5.xml" ContentType="application/vnd.openxmlformats-officedocument.drawing+xml"/>
  <Override PartName="/xl/tables/table7.xml" ContentType="application/vnd.openxmlformats-officedocument.spreadsheetml.table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featurePropertyBag/featurePropertyBag.xml" ContentType="application/vnd.ms-excel.featurepropertybag+xml"/>
  <Override PartName="/xl/persons/person.xml" ContentType="application/vnd.ms-excel.person+xml"/>
  <Override PartName="/xl/threadedcomments/threadedcomment.xml" ContentType="application/vnd.ms-excel.threadedcomments+xml"/>
  <Override PartName="/xl/threadedcomments/threadedcomment2.xml" ContentType="application/vnd.ms-excel.threadedcomments+xml"/>
  <Override PartName="/xl/threadedcomments/threadedcomment3.xml" ContentType="application/vnd.ms-excel.threadedcomments+xml"/>
  <Override PartName="/xl/threadedcomments/threadedcomment4.xml" ContentType="application/vnd.ms-excel.threadedcomments+xml"/>
  <Override PartName="/xl/threadedcomments/threadedcomment5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pilot\OneDrive\Desktop\"/>
    </mc:Choice>
  </mc:AlternateContent>
  <xr:revisionPtr revIDLastSave="0" documentId="8_{D3631F7F-5604-456C-927A-1558B8F28F19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Materials" sheetId="1" r:id="rId1"/>
    <sheet name="PropertyRules" sheetId="2" r:id="rId2"/>
    <sheet name="Sections" sheetId="3" r:id="rId3"/>
    <sheet name="RC_Sections" sheetId="4" r:id="rId4"/>
    <sheet name="Sources" sheetId="5" r:id="rId5"/>
    <sheet name="Validation" sheetId="6" r:id="rId6"/>
    <sheet name="Meta" sheetId="7" r:id="rId7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8" i="3" l="1"/>
  <c r="J8" i="3"/>
  <c r="I8" i="3"/>
  <c r="H8" i="3"/>
  <c r="G8" i="3"/>
  <c r="M7" i="3"/>
  <c r="J7" i="3"/>
  <c r="I7" i="3"/>
  <c r="H7" i="3"/>
  <c r="G7" i="3"/>
  <c r="M6" i="3"/>
  <c r="J6" i="3"/>
  <c r="G6" i="3"/>
  <c r="M5" i="3"/>
  <c r="J5" i="3"/>
  <c r="G5" i="3"/>
  <c r="M4" i="3"/>
  <c r="J4" i="3"/>
  <c r="I4" i="3"/>
  <c r="H4" i="3"/>
  <c r="G4" i="3"/>
  <c r="J3" i="3"/>
  <c r="I3" i="3"/>
  <c r="H3" i="3"/>
  <c r="G3" i="3"/>
  <c r="J2" i="3"/>
  <c r="I2" i="3"/>
  <c r="H2" i="3"/>
  <c r="G2" i="3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tc={124170A7-8617-0D0A-BB26-9D4B187E0587}</author>
    <author>tc={C8DC9C54-943C-E36E-FE3E-93DECB6EE698}</author>
    <author>tc={E2C46491-229B-28CF-2D8F-453D820BF633}</author>
  </authors>
  <commentList>
    <comment ref="E1" authorId="0" shapeId="0" xr:uid="{00000000-0006-0000-0000-000001000000}">
      <text>
        <r>
          <rPr>
            <sz val="11"/>
            <rFont val="Carlito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콘크리트 grade에서 분리한 설계기준 압축강도(MPa). 비콘크리트 행은 빈칸입니다.</t>
        </r>
      </text>
    </comment>
    <comment ref="H1" authorId="1" shapeId="0" xr:uid="{00000000-0006-0000-0000-000002000000}">
      <text>
        <r>
          <rPr>
            <sz val="11"/>
            <rFont val="Carlito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질량밀도 × Meta!GRAVITY / 1000으로 계산한 물리적 단위중량(kN/m³). 숫자 또는 빈칸만 허용합니다.</t>
        </r>
      </text>
    </comment>
    <comment ref="I1" authorId="2" shapeId="0" xr:uid="{00000000-0006-0000-0000-000003000000}">
      <text>
        <r>
          <rPr>
            <sz val="11"/>
            <rFont val="Carlito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설계기준에서 별도로 지정한 대표 단위중량 전용 열. 기존 근거값이 없어 이번 마이그레이션에서는 빈칸으로 보존했습니다.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tc={D89EE8FD-AF3A-883A-0C60-9E322535F87A}</author>
    <author>tc={AA81E858-AE11-74F2-829A-D9F6FE4F8BD4}</author>
  </authors>
  <commentList>
    <comment ref="E1" authorId="0" shapeId="0" xr:uid="{00000000-0006-0000-0100-000001000000}">
      <text>
        <r>
          <rPr>
            <sz val="11"/>
            <rFont val="Carlito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FALSE이면 min_value는 제외됩니다. 현재 범위는 min &lt; t ≤ max 규칙으로 통일했습니다.</t>
        </r>
      </text>
    </comment>
    <comment ref="G1" authorId="1" shapeId="0" xr:uid="{00000000-0006-0000-0100-000002000000}">
      <text>
        <r>
          <rPr>
            <sz val="11"/>
            <rFont val="Carlito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TRUE이면 max_value가 포함됩니다. 상한 미확정 행은 max_value와 max_inclusive가 모두 빈칸입니다.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tc={82B844D2-4A12-EDE7-8C01-BB538A109AFD}</author>
    <author>tc={BE6CB9F8-70D3-0682-0CD7-37CD778B9669}</author>
  </authors>
  <commentList>
    <comment ref="E1" authorId="0" shapeId="0" xr:uid="{00000000-0006-0000-0200-000001000000}">
      <text>
        <r>
          <rPr>
            <sz val="11"/>
            <rFont val="Carlito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단면 형상과 실제 material_id는 분리합니다. 프로그램에서 이 호환 재료 카테고리와 Material을 조합하십시오.</t>
        </r>
      </text>
    </comment>
    <comment ref="M1" authorId="1" shapeId="0" xr:uid="{00000000-0006-0000-0200-000002000000}">
      <text>
        <r>
          <rPr>
            <sz val="11"/>
            <rFont val="Carlito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unit_weight_per_length_kN_m = mass_per_length_kg_m × Meta!GRAVITY / 1000.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tc={4419155E-8826-60FB-AADF-C5173D703B02}</author>
  </authors>
  <commentList>
    <comment ref="C1" authorId="0" shapeId="0" xr:uid="{00000000-0006-0000-0300-000001000000}">
      <text>
        <r>
          <rPr>
            <sz val="11"/>
            <rFont val="Carlito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Beam, Column, Wall 중 선택. 기존 데이터에 근거가 없어 자동 추정하지 않고 빈칸으로 보존했습니다.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tc={9B068E33-B7EB-3B02-B282-988EBA42E8CC}</author>
  </authors>
  <commentList>
    <comment ref="C5" authorId="0" shapeId="0" xr:uid="{00000000-0006-0000-0600-000001000000}">
      <text>
        <r>
          <rPr>
            <sz val="11"/>
            <rFont val="Carlito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Materials 및 Sections의 단위중량 변환 수식이 참조하는 중력가속도입니다.</t>
        </r>
      </text>
    </comment>
  </commentList>
</comments>
</file>

<file path=xl/sharedStrings.xml><?xml version="1.0" encoding="utf-8"?>
<sst xmlns="http://schemas.openxmlformats.org/spreadsheetml/2006/main" count="843" uniqueCount="415">
  <si>
    <t>material_id</t>
  </si>
  <si>
    <t>category</t>
  </si>
  <si>
    <t>grade</t>
  </si>
  <si>
    <t>name</t>
  </si>
  <si>
    <t>fck_MPa</t>
  </si>
  <si>
    <t>E_MPa</t>
  </si>
  <si>
    <t>density_kg_m3</t>
  </si>
  <si>
    <t>unit_weight_kN_m3</t>
  </si>
  <si>
    <t>design_unit_weight_kN_m3</t>
  </si>
  <si>
    <t>poisson_ratio</t>
  </si>
  <si>
    <t>fy_MPa</t>
  </si>
  <si>
    <t>fu_MPa</t>
  </si>
  <si>
    <t>property_type</t>
  </si>
  <si>
    <t>data_status</t>
  </si>
  <si>
    <t>auto_apply</t>
  </si>
  <si>
    <t>standard</t>
  </si>
  <si>
    <t>source_id</t>
  </si>
  <si>
    <t>note</t>
  </si>
  <si>
    <t>CONC-C18</t>
  </si>
  <si>
    <t>Concrete</t>
  </si>
  <si>
    <t>C18</t>
  </si>
  <si>
    <t>Concrete fck=18 MPa</t>
  </si>
  <si>
    <t>FORMULA</t>
  </si>
  <si>
    <t>VERIFIED</t>
  </si>
  <si>
    <t>KDS 14 20 10 콘크리트구조 해석과 설계 원칙</t>
  </si>
  <si>
    <t>SRC-KDS-CONC</t>
  </si>
  <si>
    <t>E는 KDS식 계산. 보통중량 콘크리트 가정; 골재/단위질량이 다르면 수정.</t>
  </si>
  <si>
    <t>CONC-C21</t>
  </si>
  <si>
    <t>C21</t>
  </si>
  <si>
    <t>Concrete fck=21 MPa</t>
  </si>
  <si>
    <t>CONC-C24</t>
  </si>
  <si>
    <t>C24</t>
  </si>
  <si>
    <t>Concrete fck=24 MPa</t>
  </si>
  <si>
    <t>CONC-C27</t>
  </si>
  <si>
    <t>C27</t>
  </si>
  <si>
    <t>Concrete fck=27 MPa</t>
  </si>
  <si>
    <t>CONC-C30</t>
  </si>
  <si>
    <t>C30</t>
  </si>
  <si>
    <t>Concrete fck=30 MPa</t>
  </si>
  <si>
    <t>CONC-C35</t>
  </si>
  <si>
    <t>C35</t>
  </si>
  <si>
    <t>Concrete fck=35 MPa</t>
  </si>
  <si>
    <t>CONC-C40</t>
  </si>
  <si>
    <t>C40</t>
  </si>
  <si>
    <t>Concrete fck=40 MPa</t>
  </si>
  <si>
    <t>CONC-C50</t>
  </si>
  <si>
    <t>C50</t>
  </si>
  <si>
    <t>Concrete fck=50 MPa</t>
  </si>
  <si>
    <t>CONC-C60</t>
  </si>
  <si>
    <t>C60</t>
  </si>
  <si>
    <t>Concrete fck=60 MPa</t>
  </si>
  <si>
    <t>CONC-C70</t>
  </si>
  <si>
    <t>C70</t>
  </si>
  <si>
    <t>Concrete fck=70 MPa</t>
  </si>
  <si>
    <t>CONC-C80</t>
  </si>
  <si>
    <t>C80</t>
  </si>
  <si>
    <t>Concrete fck=80 MPa</t>
  </si>
  <si>
    <t>STL-SS275</t>
  </si>
  <si>
    <t>Structural Steel</t>
  </si>
  <si>
    <t>SS275</t>
  </si>
  <si>
    <t>SS275 structural steel</t>
  </si>
  <si>
    <t>CONDITIONAL</t>
  </si>
  <si>
    <t>PENDING</t>
  </si>
  <si>
    <t>KS D 3503 일반 구조용 압연 강재</t>
  </si>
  <si>
    <t>SRC-KS-D3503</t>
  </si>
  <si>
    <t>fy는 두께·제품형태 조건에 따라 PropertyRules 참조; 적용 KS 원문 확인.</t>
  </si>
  <si>
    <t>STL-SM275</t>
  </si>
  <si>
    <t>SM275</t>
  </si>
  <si>
    <t>SM275 structural steel</t>
  </si>
  <si>
    <t>CONSTANT</t>
  </si>
  <si>
    <t>KS D 3515 용접 구조용 압연 강재</t>
  </si>
  <si>
    <t>SRC-KS-D3515</t>
  </si>
  <si>
    <t>STL-SM355</t>
  </si>
  <si>
    <t>SM355</t>
  </si>
  <si>
    <t>SM355 structural steel</t>
  </si>
  <si>
    <t>STL-SM420</t>
  </si>
  <si>
    <t>SM420</t>
  </si>
  <si>
    <t>SM420 structural steel</t>
  </si>
  <si>
    <t>STL-SM460</t>
  </si>
  <si>
    <t>SM460</t>
  </si>
  <si>
    <t>SM460 structural steel</t>
  </si>
  <si>
    <t>STL-SN275</t>
  </si>
  <si>
    <t>SN275</t>
  </si>
  <si>
    <t>SN275 structural steel</t>
  </si>
  <si>
    <t>건축구조용 압연강재 관련 KS</t>
  </si>
  <si>
    <t>SRC-KS-SN</t>
  </si>
  <si>
    <t>STL-SN355</t>
  </si>
  <si>
    <t>SN355</t>
  </si>
  <si>
    <t>SN355 structural steel</t>
  </si>
  <si>
    <t>STL-SN460</t>
  </si>
  <si>
    <t>SN460</t>
  </si>
  <si>
    <t>SN460 structural steel</t>
  </si>
  <si>
    <t>REBAR-SD300</t>
  </si>
  <si>
    <t>Reinforcing Steel</t>
  </si>
  <si>
    <t>SD300</t>
  </si>
  <si>
    <t>SD300 reinforcing bar</t>
  </si>
  <si>
    <t>KS D 3504 철근 콘크리트용 봉강</t>
  </si>
  <si>
    <t>SRC-KS-D3504</t>
  </si>
  <si>
    <t>fy는 강종 기호의 공칭 항복강도. fu/연신율은 KS 원문 및 지름 조건 확인.</t>
  </si>
  <si>
    <t>REBAR-SD400</t>
  </si>
  <si>
    <t>SD400</t>
  </si>
  <si>
    <t>SD400 reinforcing bar</t>
  </si>
  <si>
    <t>REBAR-SD500</t>
  </si>
  <si>
    <t>SD500</t>
  </si>
  <si>
    <t>SD500 reinforcing bar</t>
  </si>
  <si>
    <t>REBAR-SD600</t>
  </si>
  <si>
    <t>SD600</t>
  </si>
  <si>
    <t>SD600 reinforcing bar</t>
  </si>
  <si>
    <t>REBAR-SD400S</t>
  </si>
  <si>
    <t>SD400S</t>
  </si>
  <si>
    <t>SD400S reinforcing bar</t>
  </si>
  <si>
    <t>REBAR-SD500S</t>
  </si>
  <si>
    <t>SD500S</t>
  </si>
  <si>
    <t>SD500S reinforcing bar</t>
  </si>
  <si>
    <t>REBAR-SD600S</t>
  </si>
  <si>
    <t>SD600S</t>
  </si>
  <si>
    <t>SD600S reinforcing bar</t>
  </si>
  <si>
    <t>AL-6061-T6</t>
  </si>
  <si>
    <t>Aluminum</t>
  </si>
  <si>
    <t>6061-T6</t>
  </si>
  <si>
    <t>Aluminum 6061-T6</t>
  </si>
  <si>
    <t>Extruded alloy technical data / alloy datasheets</t>
  </si>
  <si>
    <t>SRC-HYDRO-AL</t>
  </si>
  <si>
    <t>제품형태·두께·조질 세부조건별 강도 확인 필요.</t>
  </si>
  <si>
    <t>AL-6063-T6</t>
  </si>
  <si>
    <t>6063-T6</t>
  </si>
  <si>
    <t>Aluminum 6063-T6</t>
  </si>
  <si>
    <t>AL-6082-T6</t>
  </si>
  <si>
    <t>6082-T6</t>
  </si>
  <si>
    <t>Aluminum 6082-T6</t>
  </si>
  <si>
    <t>SS-304</t>
  </si>
  <si>
    <t>Stainless Steel</t>
  </si>
  <si>
    <t>304</t>
  </si>
  <si>
    <t>Stainless steel 304</t>
  </si>
  <si>
    <t>Stainless steel grades / Prodec range datasheet</t>
  </si>
  <si>
    <t>SRC-OUTOKUMPU</t>
  </si>
  <si>
    <t>0.2% proof strength와 fu는 제품형태·가공상태·두께별 확인.</t>
  </si>
  <si>
    <t>SS-304L</t>
  </si>
  <si>
    <t>304L</t>
  </si>
  <si>
    <t>Stainless steel 304L</t>
  </si>
  <si>
    <t>SS-316</t>
  </si>
  <si>
    <t>316</t>
  </si>
  <si>
    <t>Stainless steel 316</t>
  </si>
  <si>
    <t>SS-316L</t>
  </si>
  <si>
    <t>316L</t>
  </si>
  <si>
    <t>Stainless steel 316L</t>
  </si>
  <si>
    <t>PS-WIRE</t>
  </si>
  <si>
    <t>Prestressing Steel</t>
  </si>
  <si>
    <t>PS Wire</t>
  </si>
  <si>
    <t>KS D 7002 PC 강선 및 PC 강연선</t>
  </si>
  <si>
    <t>SRC-KS-D7002</t>
  </si>
  <si>
    <t>공칭지름·종류별 인장강도 확인 필요; 프리스트레싱강은 fy 대신 proof stress 사용 가능.</t>
  </si>
  <si>
    <t>PS-BAR</t>
  </si>
  <si>
    <t>PS Bar</t>
  </si>
  <si>
    <t>PC 강봉 관련 KS</t>
  </si>
  <si>
    <t>SRC-KS-PCBAR</t>
  </si>
  <si>
    <t>PS-STRAND</t>
  </si>
  <si>
    <t>PS Strand</t>
  </si>
  <si>
    <t>CABLE-STRUCTURAL-STRAND</t>
  </si>
  <si>
    <t>Cable</t>
  </si>
  <si>
    <t>Structural Strand</t>
  </si>
  <si>
    <t>와이어로프 및 구조용 스트랜드 관련 KS</t>
  </si>
  <si>
    <t>SRC-KS-CABLE</t>
  </si>
  <si>
    <t>유효탄성계수·파단강도·질량은 구성 및 공칭지름별 제조사/KS 표 확인.</t>
  </si>
  <si>
    <t>CABLE-WIRE-ROPE-6X19</t>
  </si>
  <si>
    <t>Wire Rope 6x19</t>
  </si>
  <si>
    <t>CABLE-WIRE-ROPE-6X37</t>
  </si>
  <si>
    <t>Wire Rope 6x37</t>
  </si>
  <si>
    <t>MDF-GENERAL</t>
  </si>
  <si>
    <t>MDF</t>
  </si>
  <si>
    <t>General MDF</t>
  </si>
  <si>
    <t>MDF Info: manufacture, assessing properties, CE marking</t>
  </si>
  <si>
    <t>SRC-EPF-MDF</t>
  </si>
  <si>
    <t>평균밀도 700–800 kg/m³의 중간값 750은 전형값이며 제품 데이터시트 우선. E는 두께별 규칙 참조.</t>
  </si>
  <si>
    <t>MDF-LOW</t>
  </si>
  <si>
    <t>Low Stiffness MDF</t>
  </si>
  <si>
    <t>표준화된 단일 등급이 아님. 제조사 제품 데이터 필요.</t>
  </si>
  <si>
    <t>MDF-HDF</t>
  </si>
  <si>
    <t>High Density MDF</t>
  </si>
  <si>
    <t>High Density MDF (HDF)</t>
  </si>
  <si>
    <t>밀도 &gt;800 kg/m³이나 단일 대표값은 없음. 제조사 제품 데이터 필요.</t>
  </si>
  <si>
    <t>USER-DEFINED</t>
  </si>
  <si>
    <t>User Defined</t>
  </si>
  <si>
    <t>USER_DEFINED</t>
  </si>
  <si>
    <t>사용자 정의</t>
  </si>
  <si>
    <t>SRC-USER</t>
  </si>
  <si>
    <t>사용자가 모든 값을 입력하고 근거를 Sources에 추가.</t>
  </si>
  <si>
    <t>property_name</t>
  </si>
  <si>
    <t>condition_type</t>
  </si>
  <si>
    <t>min_value</t>
  </si>
  <si>
    <t>min_inclusive</t>
  </si>
  <si>
    <t>max_value</t>
  </si>
  <si>
    <t>max_inclusive</t>
  </si>
  <si>
    <t>condition_unit</t>
  </si>
  <si>
    <t>product_form</t>
  </si>
  <si>
    <t>section_part</t>
  </si>
  <si>
    <t>property_value</t>
  </si>
  <si>
    <t>property_unit</t>
  </si>
  <si>
    <t>thickness_range</t>
  </si>
  <si>
    <t>mm</t>
  </si>
  <si>
    <t>MPa</t>
  </si>
  <si>
    <t>대표 두께구간. 경계 포함 방식과 제품형태를 KS 원문에서 확인.</t>
  </si>
  <si>
    <t>KS 원문 기계적 성질표 확인 후 입력.</t>
  </si>
  <si>
    <t>두께별 KS 원문 기계적 성질표 확인 후 입력.</t>
  </si>
  <si>
    <t>EN 13986 CE marking 예시의 두께별 최소/선언값.</t>
  </si>
  <si>
    <t>EN 13986 CE marking 예시.</t>
  </si>
  <si>
    <t>상한은 제품 범위에 따라 달라 제조사 확인.</t>
  </si>
  <si>
    <t>section_id</t>
  </si>
  <si>
    <t>shape</t>
  </si>
  <si>
    <t>designation</t>
  </si>
  <si>
    <t>compatible_material_category</t>
  </si>
  <si>
    <t>dimensions</t>
  </si>
  <si>
    <t>area_mm2</t>
  </si>
  <si>
    <t>Iy_mm4</t>
  </si>
  <si>
    <t>Iz_mm4</t>
  </si>
  <si>
    <t>J_mm4</t>
  </si>
  <si>
    <t>property_source</t>
  </si>
  <si>
    <t>mass_per_length_kg_m</t>
  </si>
  <si>
    <t>unit_weight_per_length_kN_m</t>
  </si>
  <si>
    <t>H_mm</t>
  </si>
  <si>
    <t>B_mm</t>
  </si>
  <si>
    <t>tw_mm</t>
  </si>
  <si>
    <t>tf_mm</t>
  </si>
  <si>
    <t>t_mm</t>
  </si>
  <si>
    <t>D_mm</t>
  </si>
  <si>
    <t>SEC-RECT-300X500</t>
  </si>
  <si>
    <t>Solid</t>
  </si>
  <si>
    <t>Rectangle</t>
  </si>
  <si>
    <t>RECT-300x500</t>
  </si>
  <si>
    <t>b=300; h=500</t>
  </si>
  <si>
    <t>CALCULATED</t>
  </si>
  <si>
    <t>SRC-GEOMETRY</t>
  </si>
  <si>
    <t>SEC-CIRC-D300</t>
  </si>
  <si>
    <t>Circle</t>
  </si>
  <si>
    <t>CIRCLE-D300</t>
  </si>
  <si>
    <t>D=300</t>
  </si>
  <si>
    <t>SEC-H-300X300X10X15</t>
  </si>
  <si>
    <t>Rolled Steel</t>
  </si>
  <si>
    <t>H/I Section</t>
  </si>
  <si>
    <t>H-300x300x10x15</t>
  </si>
  <si>
    <t>H=300; B=300; tw=10; tf=15</t>
  </si>
  <si>
    <t>SRC-KS-D3502</t>
  </si>
  <si>
    <t>SEC-C-200X80X7.5X11</t>
  </si>
  <si>
    <t>Channel</t>
  </si>
  <si>
    <t>C-200x80x7.5x11</t>
  </si>
  <si>
    <t>H=200; B=80; tw=7.5; tf=11</t>
  </si>
  <si>
    <t>SEC-L-100X100X10</t>
  </si>
  <si>
    <t>Angle</t>
  </si>
  <si>
    <t>L-100x100x10</t>
  </si>
  <si>
    <t>b=100; h=100; t=10</t>
  </si>
  <si>
    <t>SEC-BOX-200X200X9</t>
  </si>
  <si>
    <t>Hollow</t>
  </si>
  <si>
    <t>Box</t>
  </si>
  <si>
    <t>BOX-200x200x9</t>
  </si>
  <si>
    <t>b=200; h=200; t=9</t>
  </si>
  <si>
    <t>SEC-PIPE-114.3X6</t>
  </si>
  <si>
    <t>Pipe</t>
  </si>
  <si>
    <t>PIPE-114.3x6</t>
  </si>
  <si>
    <t>D=114.3; t=6</t>
  </si>
  <si>
    <t>SEC-CABLE-D15.2</t>
  </si>
  <si>
    <t>CABLE-D15.2</t>
  </si>
  <si>
    <t>D=15.2 (nominal envelope)</t>
  </si>
  <si>
    <t>STANDARD_TABLE</t>
  </si>
  <si>
    <t>section_type</t>
  </si>
  <si>
    <t>member_type</t>
  </si>
  <si>
    <t>width_mm</t>
  </si>
  <si>
    <t>height_mm</t>
  </si>
  <si>
    <t>diameter_mm</t>
  </si>
  <si>
    <t>concrete_material_id</t>
  </si>
  <si>
    <t>rebar_material_id</t>
  </si>
  <si>
    <t>cover_mm</t>
  </si>
  <si>
    <t>longitudinal_bar_diameter</t>
  </si>
  <si>
    <t>longitudinal_bar_count</t>
  </si>
  <si>
    <t>stirrup_diameter</t>
  </si>
  <si>
    <t>stirrup_spacing</t>
  </si>
  <si>
    <t>RC-RECT-300X500-C24-SD400</t>
  </si>
  <si>
    <t>예시 조합. 배근·피복은 프로젝트 설계값이며 설계기준 검토 필요.</t>
  </si>
  <si>
    <t>RC-CIRC-D500-C30-SD400</t>
  </si>
  <si>
    <t>예시 조합. 원형 띠철근 상세 및 최소피복 검토 필요.</t>
  </si>
  <si>
    <t>RC-USER</t>
  </si>
  <si>
    <t>사용자 정의 RC 단면.</t>
  </si>
  <si>
    <t>organization</t>
  </si>
  <si>
    <t>standard_or_document</t>
  </si>
  <si>
    <t>edition</t>
  </si>
  <si>
    <t>table_or_section</t>
  </si>
  <si>
    <t>description</t>
  </si>
  <si>
    <t>reference</t>
  </si>
  <si>
    <t>국가건설기준센터/국토교통부</t>
  </si>
  <si>
    <t>2024 계열(적용 전 최신본 확인)</t>
  </si>
  <si>
    <t>재료 물성</t>
  </si>
  <si>
    <t>콘크리트 탄성계수 공식 및 구조용 콘크리트 재료 규정. Δf 구간은 적용 프로젝트 기준 최신본 대조 필요.</t>
  </si>
  <si>
    <t>https://kcsc.re.kr/</t>
  </si>
  <si>
    <t>SRC-KDS-STEEL</t>
  </si>
  <si>
    <t>KDS 41 10 15 건축구조기준 설계하중 및 재료 상수 관련 기준</t>
  </si>
  <si>
    <t>현행본 확인</t>
  </si>
  <si>
    <t>강재 재료 상수</t>
  </si>
  <si>
    <t>강재 탄성계수·푸아송비 등 공통 설계 상수. 실제 적용 전 현행 기준 대조.</t>
  </si>
  <si>
    <t>국가기술표준원</t>
  </si>
  <si>
    <t>최종개정확인 2026-06-30</t>
  </si>
  <si>
    <t>종류·기계적 성질</t>
  </si>
  <si>
    <t>SS275 적용 범위 및 두께별 기계적 성질의 기준 문서. 원문 표 확인이 필요한 셀은 VERIFY.</t>
  </si>
  <si>
    <t>https://www.standard.go.kr/KSCI/standardIntro/getStandardSearchView.do?ksNo=KSD3503&amp;tmprKsNo=KSD3503</t>
  </si>
  <si>
    <t>최종개정확인 2023-06-16</t>
  </si>
  <si>
    <t>SM 계열 강재의 적용 범위와 두께별 물성 기준.</t>
  </si>
  <si>
    <t>https://www.standard.go.kr/KSCI/standardIntro/getStandardSearchView.do?ksNo=KSD3515&amp;tmprKsNo=KSD3515</t>
  </si>
  <si>
    <t>SN275/SN355/SN460의 정확한 KS 번호와 두께별 표를 프로젝트 적용 전 확인.</t>
  </si>
  <si>
    <t>https://www.standard.go.kr/</t>
  </si>
  <si>
    <t>최종개정확인 2025-06-02</t>
  </si>
  <si>
    <t>SD 계열 철근의 종류와 기계적 성질.</t>
  </si>
  <si>
    <t>https://standard.go.kr/KSCI/standardIntro/getStandardSearchView.do?ksNo=KSD3504&amp;tmprKsNo=KSD3504</t>
  </si>
  <si>
    <t>Hydro</t>
  </si>
  <si>
    <t>웹 자료(접속일 2026-08-12)</t>
  </si>
  <si>
    <t>6061/6063/6082</t>
  </si>
  <si>
    <t>합금·질별 기계적 성질은 제품형태와 두께에 따라 달라짐. 확인된 공통 물리상수만 기입하고 강도는 VERIFY.</t>
  </si>
  <si>
    <t>https://www.hydro.com/en/global/aluminium/products/extruded-profiles/alloy-selection/</t>
  </si>
  <si>
    <t>Outokumpu</t>
  </si>
  <si>
    <t>304/304L/316/316L</t>
  </si>
  <si>
    <t>제품형태·가공상태별 항복·인장강도 표. grade-only 행은 강도 VERIFY.</t>
  </si>
  <si>
    <t>https://www.outokumpu.com/en/products/product-ranges/prodec</t>
  </si>
  <si>
    <t>최종개정확인 2024-09-13</t>
  </si>
  <si>
    <t>종류·치수·기계적 성질</t>
  </si>
  <si>
    <t>PC 강선 및 강연선. 호칭/종별로 강도가 달라 grade-only 행은 VERIFY.</t>
  </si>
  <si>
    <t>https://www.standard.go.kr/KSCI/standardIntro/getStandardSearchView.do?ksNo=KSD7002&amp;tmprKsNo=KSD7002</t>
  </si>
  <si>
    <t>PS Bar의 정확한 제품 규격·등급 확인 필요.</t>
  </si>
  <si>
    <t>종류·치수·최소파단하중</t>
  </si>
  <si>
    <t>구성·공칭지름·소선 강도에 따라 물성이 달라 대표 grade-only 행은 VERIFY.</t>
  </si>
  <si>
    <t>European Panel Federation</t>
  </si>
  <si>
    <t>Density / EN 310 / EN 622-5</t>
  </si>
  <si>
    <t>일반 MDF의 전형적 평균밀도 700–800 kg/m³; E는 두께·등급 조건부. HDF는 800 kg/m³ 초과이며 제조사 확인 필요.</t>
  </si>
  <si>
    <t>https://mdf-info.eu/technical/assessing-properties</t>
  </si>
  <si>
    <t>KS D 3502 열간 압연 형강의 모양·치수·무게 및 허용차</t>
  </si>
  <si>
    <t>2022-12-27</t>
  </si>
  <si>
    <t>표준 치수</t>
  </si>
  <si>
    <t>H형강·ㄷ형강·ㄱ형강 대표 치수 및 질량의 기준. 본 파일의 대표 규격은 치수 기반 계산값이며 공칭표 대조 필요.</t>
  </si>
  <si>
    <t>OpenFrame Studio</t>
  </si>
  <si>
    <t>기하 공식</t>
  </si>
  <si>
    <t>1.0</t>
  </si>
  <si>
    <t>단면적·단면2차모멘트·비틀림상수</t>
  </si>
  <si>
    <t>이상화된 날카로운 모서리 단면의 치수 기반 수식. 필렛/모서리 반경은 제외하므로 제조 표와 차이가 날 수 있음.</t>
  </si>
  <si>
    <t>https://en.wikipedia.org/wiki/List_of_second_moments_of_area</t>
  </si>
  <si>
    <t>사용자</t>
  </si>
  <si>
    <t>N/A</t>
  </si>
  <si>
    <t>사용자가 프로젝트별 검증값을 입력하는 행.</t>
  </si>
  <si>
    <t>check_id</t>
  </si>
  <si>
    <t>check_type</t>
  </si>
  <si>
    <t>target_sheet</t>
  </si>
  <si>
    <t>target_id</t>
  </si>
  <si>
    <t>result</t>
  </si>
  <si>
    <t>message</t>
  </si>
  <si>
    <t>checked_at</t>
  </si>
  <si>
    <t>VAL-001</t>
  </si>
  <si>
    <t>DUPLICATE_ID</t>
  </si>
  <si>
    <t>Materials</t>
  </si>
  <si>
    <t>*</t>
  </si>
  <si>
    <t>PASS</t>
  </si>
  <si>
    <t>material_id 중복 없음</t>
  </si>
  <si>
    <t>VAL-002</t>
  </si>
  <si>
    <t>Sections</t>
  </si>
  <si>
    <t>section_id 중복 없음</t>
  </si>
  <si>
    <t>VAL-003</t>
  </si>
  <si>
    <t>RC_Sections</t>
  </si>
  <si>
    <t>VAL-004</t>
  </si>
  <si>
    <t>NUMERIC_TYPE</t>
  </si>
  <si>
    <t>All</t>
  </si>
  <si>
    <t>숫자형 열에 문자열 없음</t>
  </si>
  <si>
    <t>VAL-005</t>
  </si>
  <si>
    <t>SOURCE_REFERENCE</t>
  </si>
  <si>
    <t>모든 source_id 참조 유효</t>
  </si>
  <si>
    <t>VAL-006</t>
  </si>
  <si>
    <t>CONDITIONAL_RULE</t>
  </si>
  <si>
    <t>모든 CONDITIONAL 재료에 숫자 property_value 규칙 존재</t>
  </si>
  <si>
    <t>VAL-007</t>
  </si>
  <si>
    <t>RULE_OVERLAP</t>
  </si>
  <si>
    <t>PropertyRules</t>
  </si>
  <si>
    <t>동일 조건 그룹 내 범위 중복 없음</t>
  </si>
  <si>
    <t>VAL-008</t>
  </si>
  <si>
    <t>PHYSICAL_RANGE</t>
  </si>
  <si>
    <t>Materials/Sections</t>
  </si>
  <si>
    <t>음수/비정상 물성치 없음</t>
  </si>
  <si>
    <t>VAL-009</t>
  </si>
  <si>
    <t>LENGTH_UNIT_CONVERSION</t>
  </si>
  <si>
    <t>kg/m → kN/m 변환식 일치</t>
  </si>
  <si>
    <t>VAL-010</t>
  </si>
  <si>
    <t>DATA_PRESERVATION</t>
  </si>
  <si>
    <t>원본 행 보존: Materials 43, Rules 10, Sections 8, RC 3, Sources 15</t>
  </si>
  <si>
    <t>VAL-011</t>
  </si>
  <si>
    <t>PENDING_STATUS</t>
  </si>
  <si>
    <t>NOTICE</t>
  </si>
  <si>
    <t>31개 재료가 미검증 상태(PENDING/auto_apply=FALSE)</t>
  </si>
  <si>
    <t>meta_group</t>
  </si>
  <si>
    <t>key</t>
  </si>
  <si>
    <t>value</t>
  </si>
  <si>
    <t>DATABASE</t>
  </si>
  <si>
    <t>DATABASE_NAME</t>
  </si>
  <si>
    <t>OpenFrame Material &amp; Section DB</t>
  </si>
  <si>
    <t>데이터베이스 명</t>
  </si>
  <si>
    <t>DATABASE_VERSION</t>
  </si>
  <si>
    <t>0.1</t>
  </si>
  <si>
    <t>스키마 버전</t>
  </si>
  <si>
    <t>UNIT_SYSTEM</t>
  </si>
  <si>
    <t>SI</t>
  </si>
  <si>
    <t>단위계</t>
  </si>
  <si>
    <t>GRAVITY</t>
  </si>
  <si>
    <t>m/s²</t>
  </si>
  <si>
    <t>STATUS</t>
  </si>
  <si>
    <t>DEVELOPMENT</t>
  </si>
  <si>
    <t>개발 상태</t>
  </si>
  <si>
    <t>UPDATED</t>
  </si>
  <si>
    <t>마지막 수정일</t>
  </si>
  <si>
    <t>PROPERTY_TYPE</t>
  </si>
  <si>
    <t>허용 enum</t>
  </si>
  <si>
    <t>DATA_STATUS</t>
  </si>
  <si>
    <t>b_mm2</t>
  </si>
  <si>
    <t>h_mm3</t>
  </si>
  <si>
    <t>d_mm4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</si>
</sst>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0"/>
    <numFmt numFmtId="177" formatCode="0.000000"/>
    <numFmt numFmtId="178" formatCode="yyyy\-mm\-dd"/>
  </numFmts>
  <fonts count="5">
    <font>
      <sz val="11"/>
      <name val="Carlito"/>
    </font>
    <font>
      <sz val="10"/>
      <color rgb="FF1F2937"/>
      <name val="Aptos"/>
      <family val="2"/>
    </font>
    <font>
      <b/>
      <sz val="10"/>
      <color rgb="FFFFFFFF"/>
      <name val="Aptos"/>
      <family val="2"/>
    </font>
    <font>
      <sz val="11"/>
      <name val="Carlito"/>
    </font>
    <font>
      <sz val="8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17365D"/>
      </patternFill>
    </fill>
  </fills>
  <borders count="7">
    <border>
      <left/>
      <right/>
      <top/>
      <bottom/>
      <diagonal/>
    </border>
    <border>
      <left style="thin">
        <color rgb="FF0B1F33"/>
      </left>
      <right/>
      <top style="thin">
        <color rgb="FF0B1F33"/>
      </top>
      <bottom style="thin">
        <color rgb="FF0B1F33"/>
      </bottom>
      <diagonal/>
    </border>
    <border>
      <left/>
      <right/>
      <top style="thin">
        <color rgb="FF0B1F33"/>
      </top>
      <bottom style="thin">
        <color rgb="FF0B1F33"/>
      </bottom>
      <diagonal/>
    </border>
    <border>
      <left/>
      <right style="thin">
        <color rgb="FF0B1F33"/>
      </right>
      <top style="thin">
        <color rgb="FF0B1F33"/>
      </top>
      <bottom style="thin">
        <color rgb="FF0B1F33"/>
      </bottom>
      <diagonal/>
    </border>
    <border>
      <left/>
      <right/>
      <top/>
      <bottom style="thin">
        <color rgb="FFE5E7EB"/>
      </bottom>
      <diagonal/>
    </border>
    <border>
      <left/>
      <right/>
      <top style="thin">
        <color rgb="FFE5E7EB"/>
      </top>
      <bottom style="thin">
        <color rgb="FFE5E7EB"/>
      </bottom>
      <diagonal/>
    </border>
    <border>
      <left/>
      <right/>
      <top style="thin">
        <color rgb="FFE5E7EB"/>
      </top>
      <bottom/>
      <diagonal/>
    </border>
  </borders>
  <cellStyleXfs count="2">
    <xf numFmtId="0" fontId="0" fillId="0" borderId="0"/>
    <xf numFmtId="0" fontId="3" fillId="0" borderId="0"/>
  </cellStyleXfs>
  <cellXfs count="25">
    <xf numFmtId="0" fontId="0" fillId="0" borderId="0" xfId="0"/>
    <xf numFmtId="0" fontId="2" fillId="2" borderId="1" xfId="1" applyFont="1" applyFill="1" applyBorder="1" applyAlignment="1">
      <alignment horizontal="center" vertical="center" wrapText="1"/>
    </xf>
    <xf numFmtId="0" fontId="2" fillId="2" borderId="2" xfId="1" applyFont="1" applyFill="1" applyBorder="1" applyAlignment="1">
      <alignment horizontal="center" vertical="center" wrapText="1"/>
    </xf>
    <xf numFmtId="0" fontId="2" fillId="2" borderId="3" xfId="1" applyFont="1" applyFill="1" applyBorder="1" applyAlignment="1">
      <alignment horizontal="center" vertical="center" wrapText="1"/>
    </xf>
    <xf numFmtId="0" fontId="1" fillId="0" borderId="4" xfId="1" applyFont="1" applyBorder="1" applyAlignment="1">
      <alignment vertical="center"/>
    </xf>
    <xf numFmtId="0" fontId="1" fillId="0" borderId="5" xfId="1" applyFont="1" applyBorder="1" applyAlignment="1">
      <alignment vertical="center"/>
    </xf>
    <xf numFmtId="0" fontId="1" fillId="0" borderId="6" xfId="1" applyFont="1" applyBorder="1" applyAlignment="1">
      <alignment vertical="center"/>
    </xf>
    <xf numFmtId="2" fontId="1" fillId="0" borderId="4" xfId="1" applyNumberFormat="1" applyFont="1" applyBorder="1" applyAlignment="1">
      <alignment vertical="center"/>
    </xf>
    <xf numFmtId="2" fontId="1" fillId="0" borderId="5" xfId="1" applyNumberFormat="1" applyFont="1" applyBorder="1" applyAlignment="1">
      <alignment vertical="center"/>
    </xf>
    <xf numFmtId="2" fontId="1" fillId="0" borderId="6" xfId="1" applyNumberFormat="1" applyFont="1" applyBorder="1" applyAlignment="1">
      <alignment vertical="center"/>
    </xf>
    <xf numFmtId="0" fontId="1" fillId="0" borderId="4" xfId="1" applyFont="1" applyBorder="1" applyAlignment="1">
      <alignment horizontal="center" vertical="center"/>
      <extLst>
        <x:ext xmlns:x="http://schemas.openxmlformats.org/spreadsheetml/2006/main" uri="{C7286773-470A-42A8-94C5-96B5CB345126}">
          <xfpb:xfComplement xmlns:xfpb="http://schemas.microsoft.com/office/spreadsheetml/2022/featurepropertybag" i="0"/>
        </x:ext>
      </extLst>
    </xf>
    <xf numFmtId="0" fontId="1" fillId="0" borderId="5" xfId="1" applyFont="1" applyBorder="1" applyAlignment="1">
      <alignment horizontal="center" vertical="center"/>
      <extLst>
        <x:ext xmlns:x="http://schemas.openxmlformats.org/spreadsheetml/2006/main" uri="{C7286773-470A-42A8-94C5-96B5CB345126}">
          <xfpb:xfComplement xmlns:xfpb="http://schemas.microsoft.com/office/spreadsheetml/2022/featurepropertybag" i="0"/>
        </x:ext>
      </extLst>
    </xf>
    <xf numFmtId="0" fontId="1" fillId="0" borderId="6" xfId="1" applyFont="1" applyBorder="1" applyAlignment="1">
      <alignment horizontal="center" vertical="center"/>
      <extLst>
        <x:ext xmlns:x="http://schemas.openxmlformats.org/spreadsheetml/2006/main" uri="{C7286773-470A-42A8-94C5-96B5CB345126}">
          <xfpb:xfComplement xmlns:xfpb="http://schemas.microsoft.com/office/spreadsheetml/2022/featurepropertybag" i="0"/>
        </x:ext>
      </extLst>
    </xf>
    <xf numFmtId="0" fontId="1" fillId="0" borderId="4" xfId="1" applyFont="1" applyBorder="1" applyAlignment="1">
      <alignment horizontal="center" vertical="center"/>
    </xf>
    <xf numFmtId="0" fontId="1" fillId="0" borderId="5" xfId="1" applyFont="1" applyBorder="1" applyAlignment="1">
      <alignment horizontal="center" vertical="center"/>
    </xf>
    <xf numFmtId="0" fontId="1" fillId="0" borderId="6" xfId="1" applyFont="1" applyBorder="1" applyAlignment="1">
      <alignment horizontal="center" vertical="center"/>
    </xf>
    <xf numFmtId="176" fontId="1" fillId="0" borderId="4" xfId="1" applyNumberFormat="1" applyFont="1" applyBorder="1" applyAlignment="1">
      <alignment vertical="center"/>
    </xf>
    <xf numFmtId="176" fontId="1" fillId="0" borderId="5" xfId="1" applyNumberFormat="1" applyFont="1" applyBorder="1" applyAlignment="1">
      <alignment vertical="center"/>
    </xf>
    <xf numFmtId="176" fontId="1" fillId="0" borderId="6" xfId="1" applyNumberFormat="1" applyFont="1" applyBorder="1" applyAlignment="1">
      <alignment vertical="center"/>
    </xf>
    <xf numFmtId="177" fontId="1" fillId="0" borderId="4" xfId="1" applyNumberFormat="1" applyFont="1" applyBorder="1" applyAlignment="1">
      <alignment vertical="center"/>
    </xf>
    <xf numFmtId="177" fontId="1" fillId="0" borderId="5" xfId="1" applyNumberFormat="1" applyFont="1" applyBorder="1" applyAlignment="1">
      <alignment vertical="center"/>
    </xf>
    <xf numFmtId="177" fontId="1" fillId="0" borderId="6" xfId="1" applyNumberFormat="1" applyFont="1" applyBorder="1" applyAlignment="1">
      <alignment vertical="center"/>
    </xf>
    <xf numFmtId="178" fontId="1" fillId="0" borderId="4" xfId="1" applyNumberFormat="1" applyFont="1" applyBorder="1" applyAlignment="1">
      <alignment vertical="center"/>
    </xf>
    <xf numFmtId="178" fontId="1" fillId="0" borderId="5" xfId="1" applyNumberFormat="1" applyFont="1" applyBorder="1" applyAlignment="1">
      <alignment vertical="center"/>
    </xf>
    <xf numFmtId="178" fontId="1" fillId="0" borderId="6" xfId="1" applyNumberFormat="1" applyFont="1" applyBorder="1" applyAlignment="1">
      <alignment vertical="center"/>
    </xf>
  </cellXfs>
  <cellStyles count="2">
    <cellStyle name="Normal" xfId="1" xr:uid="{00000000-0005-0000-0000-000000000000}"/>
    <cellStyle name="표준" xfId="0" builtinId="0"/>
  </cellStyles>
  <dxfs count="3">
    <dxf>
      <font>
        <b/>
        <color rgb="FF7A4E00"/>
      </font>
      <fill>
        <patternFill patternType="solid">
          <bgColor rgb="FFFFF2CC"/>
        </patternFill>
      </fill>
    </dxf>
    <dxf>
      <font>
        <b/>
        <color rgb="FFB42318"/>
      </font>
      <fill>
        <patternFill patternType="solid">
          <bgColor rgb="FFFCE8E6"/>
        </patternFill>
      </fill>
    </dxf>
    <dxf>
      <font>
        <b/>
        <color rgb="FF7A4E00"/>
      </font>
      <fill>
        <patternFill patternType="solid">
          <bgColor rgb="FFFFF2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5424781183bf41d4" Type="http://schemas.microsoft.com/office/2022/11/relationships/FeaturePropertyBag" Target="featurePropertyBag/featurePropertyBag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0bcb33ad843f4351" Type="http://schemas.microsoft.com/office/2017/10/relationships/person" Target="persons/person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5</xdr:col>
      <xdr:colOff>533400</xdr:colOff>
      <xdr:row>41</xdr:row>
      <xdr:rowOff>152400</xdr:rowOff>
    </xdr:to>
    <xdr:sp macro="" textlink="">
      <xdr:nvSpPr>
        <xdr:cNvPr id="1028" name="Text Box 4" hidden="1">
          <a:extLst>
            <a:ext uri="{FF2B5EF4-FFF2-40B4-BE49-F238E27FC236}">
              <a16:creationId xmlns:a16="http://schemas.microsoft.com/office/drawing/2014/main" id="{052F75EF-12D3-ACD5-70A4-9514B40B8F7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6</xdr:col>
      <xdr:colOff>381000</xdr:colOff>
      <xdr:row>41</xdr:row>
      <xdr:rowOff>152400</xdr:rowOff>
    </xdr:to>
    <xdr:sp macro="" textlink="">
      <xdr:nvSpPr>
        <xdr:cNvPr id="2051" name="Text Box 3" hidden="1">
          <a:extLst>
            <a:ext uri="{FF2B5EF4-FFF2-40B4-BE49-F238E27FC236}">
              <a16:creationId xmlns:a16="http://schemas.microsoft.com/office/drawing/2014/main" id="{EF10E9D1-CC0B-977B-0921-E8C2E5B593EC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4</xdr:col>
      <xdr:colOff>1447800</xdr:colOff>
      <xdr:row>41</xdr:row>
      <xdr:rowOff>152400</xdr:rowOff>
    </xdr:to>
    <xdr:sp macro="" textlink="">
      <xdr:nvSpPr>
        <xdr:cNvPr id="3075" name="Text Box 3" hidden="1">
          <a:extLst>
            <a:ext uri="{FF2B5EF4-FFF2-40B4-BE49-F238E27FC236}">
              <a16:creationId xmlns:a16="http://schemas.microsoft.com/office/drawing/2014/main" id="{1DE6A73C-EC90-632A-2E56-6109263B7A6B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5</xdr:col>
      <xdr:colOff>838200</xdr:colOff>
      <xdr:row>41</xdr:row>
      <xdr:rowOff>152400</xdr:rowOff>
    </xdr:to>
    <xdr:sp macro="" textlink="">
      <xdr:nvSpPr>
        <xdr:cNvPr id="4098" name="Text Box 2" hidden="1">
          <a:extLst>
            <a:ext uri="{FF2B5EF4-FFF2-40B4-BE49-F238E27FC236}">
              <a16:creationId xmlns:a16="http://schemas.microsoft.com/office/drawing/2014/main" id="{9F1266AD-FD76-5A4F-0C8E-FC78D0A0D948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</xdr:col>
      <xdr:colOff>762000</xdr:colOff>
      <xdr:row>41</xdr:row>
      <xdr:rowOff>152400</xdr:rowOff>
    </xdr:to>
    <xdr:sp macro="" textlink="">
      <xdr:nvSpPr>
        <xdr:cNvPr id="5122" name="Text Box 2" hidden="1">
          <a:extLst>
            <a:ext uri="{FF2B5EF4-FFF2-40B4-BE49-F238E27FC236}">
              <a16:creationId xmlns:a16="http://schemas.microsoft.com/office/drawing/2014/main" id="{C02205AA-8EEF-4A13-5B87-B3CC4210833E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persons/person.xml><?xml version="1.0" encoding="utf-8"?>
<xltc:personList xmlns:xltc="http://schemas.microsoft.com/office/spreadsheetml/2018/threadedcomments">
  <xltc:person displayName="User" id="{27DB4B26-26F9-4249-A02B-4B8B8E3EEBDF}"/>
</xltc: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MaterialsTable" displayName="MaterialsTable" ref="A1:R44" totalsRowShown="0">
  <autoFilter ref="A1:R44" xr:uid="{00000000-0009-0000-0100-000001000000}"/>
  <tableColumns count="18">
    <tableColumn id="1" xr3:uid="{00000000-0010-0000-0000-000001000000}" name="material_id"/>
    <tableColumn id="2" xr3:uid="{00000000-0010-0000-0000-000002000000}" name="category"/>
    <tableColumn id="3" xr3:uid="{00000000-0010-0000-0000-000003000000}" name="grade"/>
    <tableColumn id="4" xr3:uid="{00000000-0010-0000-0000-000004000000}" name="name"/>
    <tableColumn id="5" xr3:uid="{00000000-0010-0000-0000-000005000000}" name="fck_MPa"/>
    <tableColumn id="6" xr3:uid="{00000000-0010-0000-0000-000006000000}" name="E_MPa"/>
    <tableColumn id="7" xr3:uid="{00000000-0010-0000-0000-000007000000}" name="density_kg_m3"/>
    <tableColumn id="8" xr3:uid="{00000000-0010-0000-0000-000008000000}" name="unit_weight_kN_m3"/>
    <tableColumn id="9" xr3:uid="{00000000-0010-0000-0000-000009000000}" name="design_unit_weight_kN_m3"/>
    <tableColumn id="10" xr3:uid="{00000000-0010-0000-0000-00000A000000}" name="poisson_ratio"/>
    <tableColumn id="11" xr3:uid="{00000000-0010-0000-0000-00000B000000}" name="fy_MPa"/>
    <tableColumn id="12" xr3:uid="{00000000-0010-0000-0000-00000C000000}" name="fu_MPa"/>
    <tableColumn id="13" xr3:uid="{00000000-0010-0000-0000-00000D000000}" name="property_type"/>
    <tableColumn id="14" xr3:uid="{00000000-0010-0000-0000-00000E000000}" name="data_status"/>
    <tableColumn id="15" xr3:uid="{00000000-0010-0000-0000-00000F000000}" name="auto_apply"/>
    <tableColumn id="16" xr3:uid="{00000000-0010-0000-0000-000010000000}" name="standard"/>
    <tableColumn id="17" xr3:uid="{00000000-0010-0000-0000-000011000000}" name="source_id"/>
    <tableColumn id="18" xr3:uid="{00000000-0010-0000-0000-000012000000}" name="no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PropertyRulesTable" displayName="PropertyRulesTable" ref="A1:N11" totalsRowShown="0">
  <autoFilter ref="A1:N11" xr:uid="{00000000-0009-0000-0100-000002000000}"/>
  <tableColumns count="14">
    <tableColumn id="1" xr3:uid="{00000000-0010-0000-0100-000001000000}" name="material_id"/>
    <tableColumn id="2" xr3:uid="{00000000-0010-0000-0100-000002000000}" name="property_name"/>
    <tableColumn id="3" xr3:uid="{00000000-0010-0000-0100-000003000000}" name="condition_type"/>
    <tableColumn id="4" xr3:uid="{00000000-0010-0000-0100-000004000000}" name="min_value"/>
    <tableColumn id="5" xr3:uid="{00000000-0010-0000-0100-000005000000}" name="min_inclusive"/>
    <tableColumn id="6" xr3:uid="{00000000-0010-0000-0100-000006000000}" name="max_value"/>
    <tableColumn id="7" xr3:uid="{00000000-0010-0000-0100-000007000000}" name="max_inclusive"/>
    <tableColumn id="8" xr3:uid="{00000000-0010-0000-0100-000008000000}" name="condition_unit"/>
    <tableColumn id="9" xr3:uid="{00000000-0010-0000-0100-000009000000}" name="product_form"/>
    <tableColumn id="10" xr3:uid="{00000000-0010-0000-0100-00000A000000}" name="section_part"/>
    <tableColumn id="11" xr3:uid="{00000000-0010-0000-0100-00000B000000}" name="property_value"/>
    <tableColumn id="12" xr3:uid="{00000000-0010-0000-0100-00000C000000}" name="property_unit"/>
    <tableColumn id="13" xr3:uid="{00000000-0010-0000-0100-00000D000000}" name="source_id"/>
    <tableColumn id="14" xr3:uid="{00000000-0010-0000-0100-00000E000000}" name="not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SectionsTable" displayName="SectionsTable" ref="A1:W9" totalsRowShown="0">
  <autoFilter ref="A1:W9" xr:uid="{00000000-0009-0000-0100-000003000000}"/>
  <tableColumns count="23">
    <tableColumn id="1" xr3:uid="{00000000-0010-0000-0200-000001000000}" name="section_id"/>
    <tableColumn id="2" xr3:uid="{00000000-0010-0000-0200-000002000000}" name="category"/>
    <tableColumn id="3" xr3:uid="{00000000-0010-0000-0200-000003000000}" name="shape"/>
    <tableColumn id="4" xr3:uid="{00000000-0010-0000-0200-000004000000}" name="designation"/>
    <tableColumn id="5" xr3:uid="{00000000-0010-0000-0200-000005000000}" name="compatible_material_category"/>
    <tableColumn id="6" xr3:uid="{00000000-0010-0000-0200-000006000000}" name="dimensions"/>
    <tableColumn id="7" xr3:uid="{00000000-0010-0000-0200-000007000000}" name="area_mm2"/>
    <tableColumn id="8" xr3:uid="{00000000-0010-0000-0200-000008000000}" name="Iy_mm4"/>
    <tableColumn id="9" xr3:uid="{00000000-0010-0000-0200-000009000000}" name="Iz_mm4"/>
    <tableColumn id="10" xr3:uid="{00000000-0010-0000-0200-00000A000000}" name="J_mm4"/>
    <tableColumn id="11" xr3:uid="{00000000-0010-0000-0200-00000B000000}" name="property_source"/>
    <tableColumn id="12" xr3:uid="{00000000-0010-0000-0200-00000C000000}" name="mass_per_length_kg_m"/>
    <tableColumn id="13" xr3:uid="{00000000-0010-0000-0200-00000D000000}" name="unit_weight_per_length_kN_m"/>
    <tableColumn id="14" xr3:uid="{00000000-0010-0000-0200-00000E000000}" name="source_id"/>
    <tableColumn id="15" xr3:uid="{00000000-0010-0000-0200-00000F000000}" name="H_mm"/>
    <tableColumn id="16" xr3:uid="{00000000-0010-0000-0200-000010000000}" name="B_mm"/>
    <tableColumn id="17" xr3:uid="{00000000-0010-0000-0200-000011000000}" name="tw_mm"/>
    <tableColumn id="18" xr3:uid="{00000000-0010-0000-0200-000012000000}" name="tf_mm"/>
    <tableColumn id="19" xr3:uid="{00000000-0010-0000-0200-000013000000}" name="b_mm2"/>
    <tableColumn id="20" xr3:uid="{00000000-0010-0000-0200-000014000000}" name="h_mm3"/>
    <tableColumn id="21" xr3:uid="{00000000-0010-0000-0200-000015000000}" name="t_mm"/>
    <tableColumn id="22" xr3:uid="{00000000-0010-0000-0200-000016000000}" name="D_mm"/>
    <tableColumn id="23" xr3:uid="{00000000-0010-0000-0200-000017000000}" name="d_mm4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RCSectionsTable" displayName="RCSectionsTable" ref="A1:N4" totalsRowShown="0">
  <autoFilter ref="A1:N4" xr:uid="{00000000-0009-0000-0100-000004000000}"/>
  <tableColumns count="14">
    <tableColumn id="1" xr3:uid="{00000000-0010-0000-0300-000001000000}" name="section_id"/>
    <tableColumn id="2" xr3:uid="{00000000-0010-0000-0300-000002000000}" name="section_type"/>
    <tableColumn id="3" xr3:uid="{00000000-0010-0000-0300-000003000000}" name="member_type"/>
    <tableColumn id="4" xr3:uid="{00000000-0010-0000-0300-000004000000}" name="width_mm"/>
    <tableColumn id="5" xr3:uid="{00000000-0010-0000-0300-000005000000}" name="height_mm"/>
    <tableColumn id="6" xr3:uid="{00000000-0010-0000-0300-000006000000}" name="diameter_mm"/>
    <tableColumn id="7" xr3:uid="{00000000-0010-0000-0300-000007000000}" name="concrete_material_id"/>
    <tableColumn id="8" xr3:uid="{00000000-0010-0000-0300-000008000000}" name="rebar_material_id"/>
    <tableColumn id="9" xr3:uid="{00000000-0010-0000-0300-000009000000}" name="cover_mm"/>
    <tableColumn id="10" xr3:uid="{00000000-0010-0000-0300-00000A000000}" name="longitudinal_bar_diameter"/>
    <tableColumn id="11" xr3:uid="{00000000-0010-0000-0300-00000B000000}" name="longitudinal_bar_count"/>
    <tableColumn id="12" xr3:uid="{00000000-0010-0000-0300-00000C000000}" name="stirrup_diameter"/>
    <tableColumn id="13" xr3:uid="{00000000-0010-0000-0300-00000D000000}" name="stirrup_spacing"/>
    <tableColumn id="14" xr3:uid="{00000000-0010-0000-0300-00000E000000}" name="not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SourcesTable" displayName="SourcesTable" ref="A1:G16" totalsRowShown="0">
  <autoFilter ref="A1:G16" xr:uid="{00000000-0009-0000-0100-000005000000}"/>
  <tableColumns count="7">
    <tableColumn id="1" xr3:uid="{00000000-0010-0000-0400-000001000000}" name="source_id"/>
    <tableColumn id="2" xr3:uid="{00000000-0010-0000-0400-000002000000}" name="organization"/>
    <tableColumn id="3" xr3:uid="{00000000-0010-0000-0400-000003000000}" name="standard_or_document"/>
    <tableColumn id="4" xr3:uid="{00000000-0010-0000-0400-000004000000}" name="edition"/>
    <tableColumn id="5" xr3:uid="{00000000-0010-0000-0400-000005000000}" name="table_or_section"/>
    <tableColumn id="6" xr3:uid="{00000000-0010-0000-0400-000006000000}" name="description"/>
    <tableColumn id="7" xr3:uid="{00000000-0010-0000-0400-000007000000}" name="referenc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ValidationTable" displayName="ValidationTable" ref="A1:G12" totalsRowShown="0">
  <autoFilter ref="A1:G12" xr:uid="{00000000-0009-0000-0100-000006000000}"/>
  <tableColumns count="7">
    <tableColumn id="1" xr3:uid="{00000000-0010-0000-0500-000001000000}" name="check_id"/>
    <tableColumn id="2" xr3:uid="{00000000-0010-0000-0500-000002000000}" name="check_type"/>
    <tableColumn id="3" xr3:uid="{00000000-0010-0000-0500-000003000000}" name="target_sheet"/>
    <tableColumn id="4" xr3:uid="{00000000-0010-0000-0500-000004000000}" name="target_id"/>
    <tableColumn id="5" xr3:uid="{00000000-0010-0000-0500-000005000000}" name="result"/>
    <tableColumn id="6" xr3:uid="{00000000-0010-0000-0500-000006000000}" name="message"/>
    <tableColumn id="7" xr3:uid="{00000000-0010-0000-0500-000007000000}" name="checked_at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MetaTable" displayName="MetaTable" ref="A1:D14" totalsRowShown="0">
  <autoFilter ref="A1:D14" xr:uid="{00000000-0009-0000-0100-000007000000}"/>
  <tableColumns count="4">
    <tableColumn id="1" xr3:uid="{00000000-0010-0000-0600-000001000000}" name="meta_group"/>
    <tableColumn id="2" xr3:uid="{00000000-0010-0000-0600-000002000000}" name="key"/>
    <tableColumn id="3" xr3:uid="{00000000-0010-0000-0600-000003000000}" name="value"/>
    <tableColumn id="4" xr3:uid="{00000000-0010-0000-0600-000004000000}" name="descrip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.xml><?xml version="1.0" encoding="utf-8"?>
<xltc:ThreadedComments xmlns:xltc="http://schemas.microsoft.com/office/spreadsheetml/2018/threadedcomments">
  <xltc:threadedComment ref="E1" dT="2026-08-12T13:17:11.003" personId="{27DB4B26-26F9-4249-A02B-4B8B8E3EEBDF}" id="{124170A7-8617-0D0A-BB26-9D4B187E0587}">
    <xltc:text>콘크리트 grade에서 분리한 설계기준 압축강도(MPa). 비콘크리트 행은 빈칸입니다.</xltc:text>
  </xltc:threadedComment>
  <xltc:threadedComment ref="H1" dT="2026-08-12T13:17:11.003" personId="{27DB4B26-26F9-4249-A02B-4B8B8E3EEBDF}" id="{C8DC9C54-943C-E36E-FE3E-93DECB6EE698}">
    <xltc:text>질량밀도 × Meta!GRAVITY / 1000으로 계산한 물리적 단위중량(kN/m³). 숫자 또는 빈칸만 허용합니다.</xltc:text>
  </xltc:threadedComment>
  <xltc:threadedComment ref="I1" dT="2026-08-12T13:17:11.003" personId="{27DB4B26-26F9-4249-A02B-4B8B8E3EEBDF}" id="{E2C46491-229B-28CF-2D8F-453D820BF633}">
    <xltc:text>설계기준에서 별도로 지정한 대표 단위중량 전용 열. 기존 근거값이 없어 이번 마이그레이션에서는 빈칸으로 보존했습니다.</xltc:text>
  </xltc:threadedComment>
</xltc:ThreadedComments>
</file>

<file path=xl/threadedcomments/threadedcomment2.xml><?xml version="1.0" encoding="utf-8"?>
<xltc:ThreadedComments xmlns:xltc="http://schemas.microsoft.com/office/spreadsheetml/2018/threadedcomments">
  <xltc:threadedComment ref="E1" dT="2026-08-12T13:17:11.013" personId="{27DB4B26-26F9-4249-A02B-4B8B8E3EEBDF}" id="{D89EE8FD-AF3A-883A-0C60-9E322535F87A}">
    <xltc:text>FALSE이면 min_value는 제외됩니다. 현재 범위는 min &lt; t ≤ max 규칙으로 통일했습니다.</xltc:text>
  </xltc:threadedComment>
  <xltc:threadedComment ref="G1" dT="2026-08-12T13:17:11.013" personId="{27DB4B26-26F9-4249-A02B-4B8B8E3EEBDF}" id="{AA81E858-AE11-74F2-829A-D9F6FE4F8BD4}">
    <xltc:text>TRUE이면 max_value가 포함됩니다. 상한 미확정 행은 max_value와 max_inclusive가 모두 빈칸입니다.</xltc:text>
  </xltc:threadedComment>
</xltc:ThreadedComments>
</file>

<file path=xl/threadedcomments/threadedcomment3.xml><?xml version="1.0" encoding="utf-8"?>
<xltc:ThreadedComments xmlns:xltc="http://schemas.microsoft.com/office/spreadsheetml/2018/threadedcomments">
  <xltc:threadedComment ref="E1" dT="2026-08-12T13:17:11.026" personId="{27DB4B26-26F9-4249-A02B-4B8B8E3EEBDF}" id="{82B844D2-4A12-EDE7-8C01-BB538A109AFD}">
    <xltc:text>단면 형상과 실제 material_id는 분리합니다. 프로그램에서 이 호환 재료 카테고리와 Material을 조합하십시오.</xltc:text>
  </xltc:threadedComment>
  <xltc:threadedComment ref="M1" dT="2026-08-12T13:17:11.026" personId="{27DB4B26-26F9-4249-A02B-4B8B8E3EEBDF}" id="{BE6CB9F8-70D3-0682-0CD7-37CD778B9669}">
    <xltc:text>unit_weight_per_length_kN_m = mass_per_length_kg_m × Meta!GRAVITY / 1000.</xltc:text>
  </xltc:threadedComment>
</xltc:ThreadedComments>
</file>

<file path=xl/threadedcomments/threadedcomment4.xml><?xml version="1.0" encoding="utf-8"?>
<xltc:ThreadedComments xmlns:xltc="http://schemas.microsoft.com/office/spreadsheetml/2018/threadedcomments">
  <xltc:threadedComment ref="C1" dT="2026-08-12T13:17:11.029" personId="{27DB4B26-26F9-4249-A02B-4B8B8E3EEBDF}" id="{4419155E-8826-60FB-AADF-C5173D703B02}">
    <xltc:text>Beam, Column, Wall 중 선택. 기존 데이터에 근거가 없어 자동 추정하지 않고 빈칸으로 보존했습니다.</xltc:text>
  </xltc:threadedComment>
</xltc:ThreadedComments>
</file>

<file path=xl/threadedcomments/threadedcomment5.xml><?xml version="1.0" encoding="utf-8"?>
<xltc:ThreadedComments xmlns:xltc="http://schemas.microsoft.com/office/spreadsheetml/2018/threadedcomments">
  <xltc:threadedComment ref="C5" dT="2026-08-12T13:17:11.04" personId="{27DB4B26-26F9-4249-A02B-4B8B8E3EEBDF}" id="{9B068E33-B7EB-3B02-B282-988EBA42E8CC}">
    <xltc:text>Materials 및 Sections의 단위중량 변환 수식이 참조하는 중력가속도입니다.</xltc:text>
  </xltc:threadedComment>
</xltc: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comments" Target="../comments1.xml"/><Relationship Id="R03696a3383e04be7" Type="http://schemas.microsoft.com/office/2017/10/relationships/threadedComment" Target="../threadedcomments/threadedcomment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Relationship Id="rId4" Type="http://schemas.openxmlformats.org/officeDocument/2006/relationships/comments" Target="../comments2.xml"/><Relationship Id="R84c761250d6d4365" Type="http://schemas.microsoft.com/office/2017/10/relationships/threadedComment" Target="../threadedcomments/threadedcomment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vmlDrawing" Target="../drawings/vmlDrawing3.vml"/><Relationship Id="Rc736fb8ae59147e3" Type="http://schemas.microsoft.com/office/2017/10/relationships/threadedComment" Target="../threadedcomments/threadedcomment3.xml"/><Relationship Id="rId1" Type="http://schemas.openxmlformats.org/officeDocument/2006/relationships/drawing" Target="../drawings/drawing3.xml"/><Relationship Id="rId4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3d5122d8c2234402" Type="http://schemas.microsoft.com/office/2017/10/relationships/threadedComment" Target="../threadedcomments/threadedcomment4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4.xml"/><Relationship Id="rId4" Type="http://schemas.openxmlformats.org/officeDocument/2006/relationships/comments" Target="../comments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vmlDrawing" Target="../drawings/vmlDrawing5.vml"/><Relationship Id="rId1" Type="http://schemas.openxmlformats.org/officeDocument/2006/relationships/drawing" Target="../drawings/drawing5.xml"/><Relationship Id="R1cee4e0fba7149eb" Type="http://schemas.microsoft.com/office/2017/10/relationships/threadedComment" Target="../threadedcomments/threadedcomment5.xml"/><Relationship Id="rId4" Type="http://schemas.openxmlformats.org/officeDocument/2006/relationships/comments" Target="../comments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4"/>
  <sheetViews>
    <sheetView showGridLines="0" tabSelected="1" workbookViewId="0"/>
  </sheetViews>
  <sheetFormatPr defaultRowHeight="13.8"/>
  <cols>
    <col min="1" max="2" width="20" customWidth="1"/>
    <col min="3" max="3" width="15" customWidth="1"/>
    <col min="4" max="4" width="26" customWidth="1"/>
    <col min="5" max="5" width="12" customWidth="1"/>
    <col min="6" max="6" width="13" customWidth="1"/>
    <col min="7" max="7" width="16" customWidth="1"/>
    <col min="8" max="8" width="18" customWidth="1"/>
    <col min="9" max="9" width="24" customWidth="1"/>
    <col min="10" max="10" width="14" customWidth="1"/>
    <col min="11" max="12" width="12" customWidth="1"/>
    <col min="13" max="13" width="16" customWidth="1"/>
    <col min="14" max="14" width="14" customWidth="1"/>
    <col min="15" max="15" width="12" customWidth="1"/>
    <col min="16" max="16" width="40" customWidth="1"/>
    <col min="17" max="17" width="18" customWidth="1"/>
    <col min="18" max="18" width="52" customWidth="1"/>
  </cols>
  <sheetData>
    <row r="1" spans="1:18" ht="36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3" t="s">
        <v>17</v>
      </c>
    </row>
    <row r="2" spans="1:18">
      <c r="A2" s="4" t="s">
        <v>18</v>
      </c>
      <c r="B2" s="4" t="s">
        <v>19</v>
      </c>
      <c r="C2" s="4" t="s">
        <v>20</v>
      </c>
      <c r="D2" s="4" t="s">
        <v>21</v>
      </c>
      <c r="E2" s="7">
        <v>18</v>
      </c>
      <c r="F2" s="7">
        <v>23817.334310570786</v>
      </c>
      <c r="G2" s="7">
        <v>2400</v>
      </c>
      <c r="H2" s="7">
        <f>G2*Meta!$C$5/1000</f>
        <v>23.535959999999999</v>
      </c>
      <c r="I2" s="7"/>
      <c r="J2" s="7">
        <v>0.18</v>
      </c>
      <c r="K2" s="7"/>
      <c r="L2" s="7"/>
      <c r="M2" s="4" t="s">
        <v>22</v>
      </c>
      <c r="N2" s="4" t="s">
        <v>23</v>
      </c>
      <c r="O2" s="10" t="b">
        <v>1</v>
      </c>
      <c r="P2" s="4" t="s">
        <v>24</v>
      </c>
      <c r="Q2" s="4" t="s">
        <v>25</v>
      </c>
      <c r="R2" s="4" t="s">
        <v>26</v>
      </c>
    </row>
    <row r="3" spans="1:18">
      <c r="A3" s="5" t="s">
        <v>27</v>
      </c>
      <c r="B3" s="5" t="s">
        <v>19</v>
      </c>
      <c r="C3" s="5" t="s">
        <v>28</v>
      </c>
      <c r="D3" s="5" t="s">
        <v>29</v>
      </c>
      <c r="E3" s="8">
        <v>21</v>
      </c>
      <c r="F3" s="8">
        <v>24854.150774809361</v>
      </c>
      <c r="G3" s="8">
        <v>2400</v>
      </c>
      <c r="H3" s="8">
        <f>G3*Meta!$C$5/1000</f>
        <v>23.535959999999999</v>
      </c>
      <c r="I3" s="8"/>
      <c r="J3" s="8">
        <v>0.18</v>
      </c>
      <c r="K3" s="8"/>
      <c r="L3" s="8"/>
      <c r="M3" s="5" t="s">
        <v>22</v>
      </c>
      <c r="N3" s="5" t="s">
        <v>23</v>
      </c>
      <c r="O3" s="11" t="b">
        <v>1</v>
      </c>
      <c r="P3" s="5" t="s">
        <v>24</v>
      </c>
      <c r="Q3" s="5" t="s">
        <v>25</v>
      </c>
      <c r="R3" s="5" t="s">
        <v>26</v>
      </c>
    </row>
    <row r="4" spans="1:18">
      <c r="A4" s="5" t="s">
        <v>30</v>
      </c>
      <c r="B4" s="5" t="s">
        <v>19</v>
      </c>
      <c r="C4" s="5" t="s">
        <v>31</v>
      </c>
      <c r="D4" s="5" t="s">
        <v>32</v>
      </c>
      <c r="E4" s="8">
        <v>24</v>
      </c>
      <c r="F4" s="8">
        <v>25811.00626094313</v>
      </c>
      <c r="G4" s="8">
        <v>2400</v>
      </c>
      <c r="H4" s="8">
        <f>G4*Meta!$C$5/1000</f>
        <v>23.535959999999999</v>
      </c>
      <c r="I4" s="8"/>
      <c r="J4" s="8">
        <v>0.18</v>
      </c>
      <c r="K4" s="8"/>
      <c r="L4" s="8"/>
      <c r="M4" s="5" t="s">
        <v>22</v>
      </c>
      <c r="N4" s="5" t="s">
        <v>23</v>
      </c>
      <c r="O4" s="11" t="b">
        <v>1</v>
      </c>
      <c r="P4" s="5" t="s">
        <v>24</v>
      </c>
      <c r="Q4" s="5" t="s">
        <v>25</v>
      </c>
      <c r="R4" s="5" t="s">
        <v>26</v>
      </c>
    </row>
    <row r="5" spans="1:18">
      <c r="A5" s="5" t="s">
        <v>33</v>
      </c>
      <c r="B5" s="5" t="s">
        <v>19</v>
      </c>
      <c r="C5" s="5" t="s">
        <v>34</v>
      </c>
      <c r="D5" s="5" t="s">
        <v>35</v>
      </c>
      <c r="E5" s="8">
        <v>27</v>
      </c>
      <c r="F5" s="8">
        <v>26701.735545326839</v>
      </c>
      <c r="G5" s="8">
        <v>2400</v>
      </c>
      <c r="H5" s="8">
        <f>G5*Meta!$C$5/1000</f>
        <v>23.535959999999999</v>
      </c>
      <c r="I5" s="8"/>
      <c r="J5" s="8">
        <v>0.18</v>
      </c>
      <c r="K5" s="8"/>
      <c r="L5" s="8"/>
      <c r="M5" s="5" t="s">
        <v>22</v>
      </c>
      <c r="N5" s="5" t="s">
        <v>23</v>
      </c>
      <c r="O5" s="11" t="b">
        <v>1</v>
      </c>
      <c r="P5" s="5" t="s">
        <v>24</v>
      </c>
      <c r="Q5" s="5" t="s">
        <v>25</v>
      </c>
      <c r="R5" s="5" t="s">
        <v>26</v>
      </c>
    </row>
    <row r="6" spans="1:18">
      <c r="A6" s="5" t="s">
        <v>36</v>
      </c>
      <c r="B6" s="5" t="s">
        <v>19</v>
      </c>
      <c r="C6" s="5" t="s">
        <v>37</v>
      </c>
      <c r="D6" s="5" t="s">
        <v>38</v>
      </c>
      <c r="E6" s="8">
        <v>30</v>
      </c>
      <c r="F6" s="8">
        <v>27536.700310858607</v>
      </c>
      <c r="G6" s="8">
        <v>2400</v>
      </c>
      <c r="H6" s="8">
        <f>G6*Meta!$C$5/1000</f>
        <v>23.535959999999999</v>
      </c>
      <c r="I6" s="8"/>
      <c r="J6" s="8">
        <v>0.18</v>
      </c>
      <c r="K6" s="8"/>
      <c r="L6" s="8"/>
      <c r="M6" s="5" t="s">
        <v>22</v>
      </c>
      <c r="N6" s="5" t="s">
        <v>23</v>
      </c>
      <c r="O6" s="11" t="b">
        <v>1</v>
      </c>
      <c r="P6" s="5" t="s">
        <v>24</v>
      </c>
      <c r="Q6" s="5" t="s">
        <v>25</v>
      </c>
      <c r="R6" s="5" t="s">
        <v>26</v>
      </c>
    </row>
    <row r="7" spans="1:18">
      <c r="A7" s="5" t="s">
        <v>39</v>
      </c>
      <c r="B7" s="5" t="s">
        <v>19</v>
      </c>
      <c r="C7" s="5" t="s">
        <v>40</v>
      </c>
      <c r="D7" s="5" t="s">
        <v>41</v>
      </c>
      <c r="E7" s="8">
        <v>35</v>
      </c>
      <c r="F7" s="8">
        <v>28825.297265620415</v>
      </c>
      <c r="G7" s="8">
        <v>2400</v>
      </c>
      <c r="H7" s="8">
        <f>G7*Meta!$C$5/1000</f>
        <v>23.535959999999999</v>
      </c>
      <c r="I7" s="8"/>
      <c r="J7" s="8">
        <v>0.18</v>
      </c>
      <c r="K7" s="8"/>
      <c r="L7" s="8"/>
      <c r="M7" s="5" t="s">
        <v>22</v>
      </c>
      <c r="N7" s="5" t="s">
        <v>23</v>
      </c>
      <c r="O7" s="11" t="b">
        <v>1</v>
      </c>
      <c r="P7" s="5" t="s">
        <v>24</v>
      </c>
      <c r="Q7" s="5" t="s">
        <v>25</v>
      </c>
      <c r="R7" s="5" t="s">
        <v>26</v>
      </c>
    </row>
    <row r="8" spans="1:18">
      <c r="A8" s="5" t="s">
        <v>42</v>
      </c>
      <c r="B8" s="5" t="s">
        <v>19</v>
      </c>
      <c r="C8" s="5" t="s">
        <v>43</v>
      </c>
      <c r="D8" s="5" t="s">
        <v>44</v>
      </c>
      <c r="E8" s="8">
        <v>40</v>
      </c>
      <c r="F8" s="8">
        <v>30007.960850271535</v>
      </c>
      <c r="G8" s="8">
        <v>2400</v>
      </c>
      <c r="H8" s="8">
        <f>G8*Meta!$C$5/1000</f>
        <v>23.535959999999999</v>
      </c>
      <c r="I8" s="8"/>
      <c r="J8" s="8">
        <v>0.18</v>
      </c>
      <c r="K8" s="8"/>
      <c r="L8" s="8"/>
      <c r="M8" s="5" t="s">
        <v>22</v>
      </c>
      <c r="N8" s="5" t="s">
        <v>23</v>
      </c>
      <c r="O8" s="11" t="b">
        <v>1</v>
      </c>
      <c r="P8" s="5" t="s">
        <v>24</v>
      </c>
      <c r="Q8" s="5" t="s">
        <v>25</v>
      </c>
      <c r="R8" s="5" t="s">
        <v>26</v>
      </c>
    </row>
    <row r="9" spans="1:18">
      <c r="A9" s="5" t="s">
        <v>45</v>
      </c>
      <c r="B9" s="5" t="s">
        <v>19</v>
      </c>
      <c r="C9" s="5" t="s">
        <v>46</v>
      </c>
      <c r="D9" s="5" t="s">
        <v>47</v>
      </c>
      <c r="E9" s="8">
        <v>50</v>
      </c>
      <c r="F9" s="8">
        <v>32519.830107130612</v>
      </c>
      <c r="G9" s="8">
        <v>2400</v>
      </c>
      <c r="H9" s="8">
        <f>G9*Meta!$C$5/1000</f>
        <v>23.535959999999999</v>
      </c>
      <c r="I9" s="8"/>
      <c r="J9" s="8">
        <v>0.18</v>
      </c>
      <c r="K9" s="8"/>
      <c r="L9" s="8"/>
      <c r="M9" s="5" t="s">
        <v>22</v>
      </c>
      <c r="N9" s="5" t="s">
        <v>23</v>
      </c>
      <c r="O9" s="11" t="b">
        <v>1</v>
      </c>
      <c r="P9" s="5" t="s">
        <v>24</v>
      </c>
      <c r="Q9" s="5" t="s">
        <v>25</v>
      </c>
      <c r="R9" s="5" t="s">
        <v>26</v>
      </c>
    </row>
    <row r="10" spans="1:18">
      <c r="A10" s="5" t="s">
        <v>48</v>
      </c>
      <c r="B10" s="5" t="s">
        <v>19</v>
      </c>
      <c r="C10" s="5" t="s">
        <v>49</v>
      </c>
      <c r="D10" s="5" t="s">
        <v>50</v>
      </c>
      <c r="E10" s="8">
        <v>60</v>
      </c>
      <c r="F10" s="8">
        <v>34350.540175288617</v>
      </c>
      <c r="G10" s="8">
        <v>2400</v>
      </c>
      <c r="H10" s="8">
        <f>G10*Meta!$C$5/1000</f>
        <v>23.535959999999999</v>
      </c>
      <c r="I10" s="8"/>
      <c r="J10" s="8">
        <v>0.18</v>
      </c>
      <c r="K10" s="8"/>
      <c r="L10" s="8"/>
      <c r="M10" s="5" t="s">
        <v>22</v>
      </c>
      <c r="N10" s="5" t="s">
        <v>23</v>
      </c>
      <c r="O10" s="11" t="b">
        <v>1</v>
      </c>
      <c r="P10" s="5" t="s">
        <v>24</v>
      </c>
      <c r="Q10" s="5" t="s">
        <v>25</v>
      </c>
      <c r="R10" s="5" t="s">
        <v>26</v>
      </c>
    </row>
    <row r="11" spans="1:18">
      <c r="A11" s="5" t="s">
        <v>51</v>
      </c>
      <c r="B11" s="5" t="s">
        <v>19</v>
      </c>
      <c r="C11" s="5" t="s">
        <v>52</v>
      </c>
      <c r="D11" s="5" t="s">
        <v>53</v>
      </c>
      <c r="E11" s="8">
        <v>70</v>
      </c>
      <c r="F11" s="8">
        <v>36317.598794432291</v>
      </c>
      <c r="G11" s="8">
        <v>2400</v>
      </c>
      <c r="H11" s="8">
        <f>G11*Meta!$C$5/1000</f>
        <v>23.535959999999999</v>
      </c>
      <c r="I11" s="8"/>
      <c r="J11" s="8">
        <v>0.18</v>
      </c>
      <c r="K11" s="8"/>
      <c r="L11" s="8"/>
      <c r="M11" s="5" t="s">
        <v>22</v>
      </c>
      <c r="N11" s="5" t="s">
        <v>23</v>
      </c>
      <c r="O11" s="11" t="b">
        <v>1</v>
      </c>
      <c r="P11" s="5" t="s">
        <v>24</v>
      </c>
      <c r="Q11" s="5" t="s">
        <v>25</v>
      </c>
      <c r="R11" s="5" t="s">
        <v>26</v>
      </c>
    </row>
    <row r="12" spans="1:18">
      <c r="A12" s="5" t="s">
        <v>54</v>
      </c>
      <c r="B12" s="5" t="s">
        <v>19</v>
      </c>
      <c r="C12" s="5" t="s">
        <v>55</v>
      </c>
      <c r="D12" s="5" t="s">
        <v>56</v>
      </c>
      <c r="E12" s="8">
        <v>80</v>
      </c>
      <c r="F12" s="8">
        <v>37807.66153967836</v>
      </c>
      <c r="G12" s="8">
        <v>2400</v>
      </c>
      <c r="H12" s="8">
        <f>G12*Meta!$C$5/1000</f>
        <v>23.535959999999999</v>
      </c>
      <c r="I12" s="8"/>
      <c r="J12" s="8">
        <v>0.18</v>
      </c>
      <c r="K12" s="8"/>
      <c r="L12" s="8"/>
      <c r="M12" s="5" t="s">
        <v>22</v>
      </c>
      <c r="N12" s="5" t="s">
        <v>23</v>
      </c>
      <c r="O12" s="11" t="b">
        <v>1</v>
      </c>
      <c r="P12" s="5" t="s">
        <v>24</v>
      </c>
      <c r="Q12" s="5" t="s">
        <v>25</v>
      </c>
      <c r="R12" s="5" t="s">
        <v>26</v>
      </c>
    </row>
    <row r="13" spans="1:18">
      <c r="A13" s="5" t="s">
        <v>57</v>
      </c>
      <c r="B13" s="5" t="s">
        <v>58</v>
      </c>
      <c r="C13" s="5" t="s">
        <v>59</v>
      </c>
      <c r="D13" s="5" t="s">
        <v>60</v>
      </c>
      <c r="E13" s="8"/>
      <c r="F13" s="8">
        <v>200000</v>
      </c>
      <c r="G13" s="8">
        <v>7850</v>
      </c>
      <c r="H13" s="8">
        <f>G13*Meta!$C$5/1000</f>
        <v>76.9822025</v>
      </c>
      <c r="I13" s="8"/>
      <c r="J13" s="8">
        <v>0.3</v>
      </c>
      <c r="K13" s="8"/>
      <c r="L13" s="8"/>
      <c r="M13" s="5" t="s">
        <v>61</v>
      </c>
      <c r="N13" s="5" t="s">
        <v>62</v>
      </c>
      <c r="O13" s="11" t="b">
        <v>0</v>
      </c>
      <c r="P13" s="5" t="s">
        <v>63</v>
      </c>
      <c r="Q13" s="5" t="s">
        <v>64</v>
      </c>
      <c r="R13" s="5" t="s">
        <v>65</v>
      </c>
    </row>
    <row r="14" spans="1:18">
      <c r="A14" s="5" t="s">
        <v>66</v>
      </c>
      <c r="B14" s="5" t="s">
        <v>58</v>
      </c>
      <c r="C14" s="5" t="s">
        <v>67</v>
      </c>
      <c r="D14" s="5" t="s">
        <v>68</v>
      </c>
      <c r="E14" s="8"/>
      <c r="F14" s="8">
        <v>200000</v>
      </c>
      <c r="G14" s="8">
        <v>7850</v>
      </c>
      <c r="H14" s="8">
        <f>G14*Meta!$C$5/1000</f>
        <v>76.9822025</v>
      </c>
      <c r="I14" s="8"/>
      <c r="J14" s="8">
        <v>0.3</v>
      </c>
      <c r="K14" s="8"/>
      <c r="L14" s="8"/>
      <c r="M14" s="5" t="s">
        <v>69</v>
      </c>
      <c r="N14" s="5" t="s">
        <v>62</v>
      </c>
      <c r="O14" s="11" t="b">
        <v>0</v>
      </c>
      <c r="P14" s="5" t="s">
        <v>70</v>
      </c>
      <c r="Q14" s="5" t="s">
        <v>71</v>
      </c>
      <c r="R14" s="5" t="s">
        <v>65</v>
      </c>
    </row>
    <row r="15" spans="1:18">
      <c r="A15" s="5" t="s">
        <v>72</v>
      </c>
      <c r="B15" s="5" t="s">
        <v>58</v>
      </c>
      <c r="C15" s="5" t="s">
        <v>73</v>
      </c>
      <c r="D15" s="5" t="s">
        <v>74</v>
      </c>
      <c r="E15" s="8"/>
      <c r="F15" s="8">
        <v>200000</v>
      </c>
      <c r="G15" s="8">
        <v>7850</v>
      </c>
      <c r="H15" s="8">
        <f>G15*Meta!$C$5/1000</f>
        <v>76.9822025</v>
      </c>
      <c r="I15" s="8"/>
      <c r="J15" s="8">
        <v>0.3</v>
      </c>
      <c r="K15" s="8"/>
      <c r="L15" s="8"/>
      <c r="M15" s="5" t="s">
        <v>69</v>
      </c>
      <c r="N15" s="5" t="s">
        <v>62</v>
      </c>
      <c r="O15" s="11" t="b">
        <v>0</v>
      </c>
      <c r="P15" s="5" t="s">
        <v>70</v>
      </c>
      <c r="Q15" s="5" t="s">
        <v>71</v>
      </c>
      <c r="R15" s="5" t="s">
        <v>65</v>
      </c>
    </row>
    <row r="16" spans="1:18">
      <c r="A16" s="5" t="s">
        <v>75</v>
      </c>
      <c r="B16" s="5" t="s">
        <v>58</v>
      </c>
      <c r="C16" s="5" t="s">
        <v>76</v>
      </c>
      <c r="D16" s="5" t="s">
        <v>77</v>
      </c>
      <c r="E16" s="8"/>
      <c r="F16" s="8">
        <v>200000</v>
      </c>
      <c r="G16" s="8">
        <v>7850</v>
      </c>
      <c r="H16" s="8">
        <f>G16*Meta!$C$5/1000</f>
        <v>76.9822025</v>
      </c>
      <c r="I16" s="8"/>
      <c r="J16" s="8">
        <v>0.3</v>
      </c>
      <c r="K16" s="8"/>
      <c r="L16" s="8"/>
      <c r="M16" s="5" t="s">
        <v>69</v>
      </c>
      <c r="N16" s="5" t="s">
        <v>62</v>
      </c>
      <c r="O16" s="11" t="b">
        <v>0</v>
      </c>
      <c r="P16" s="5" t="s">
        <v>70</v>
      </c>
      <c r="Q16" s="5" t="s">
        <v>71</v>
      </c>
      <c r="R16" s="5" t="s">
        <v>65</v>
      </c>
    </row>
    <row r="17" spans="1:18">
      <c r="A17" s="5" t="s">
        <v>78</v>
      </c>
      <c r="B17" s="5" t="s">
        <v>58</v>
      </c>
      <c r="C17" s="5" t="s">
        <v>79</v>
      </c>
      <c r="D17" s="5" t="s">
        <v>80</v>
      </c>
      <c r="E17" s="8"/>
      <c r="F17" s="8">
        <v>200000</v>
      </c>
      <c r="G17" s="8">
        <v>7850</v>
      </c>
      <c r="H17" s="8">
        <f>G17*Meta!$C$5/1000</f>
        <v>76.9822025</v>
      </c>
      <c r="I17" s="8"/>
      <c r="J17" s="8">
        <v>0.3</v>
      </c>
      <c r="K17" s="8"/>
      <c r="L17" s="8"/>
      <c r="M17" s="5" t="s">
        <v>69</v>
      </c>
      <c r="N17" s="5" t="s">
        <v>62</v>
      </c>
      <c r="O17" s="11" t="b">
        <v>0</v>
      </c>
      <c r="P17" s="5" t="s">
        <v>70</v>
      </c>
      <c r="Q17" s="5" t="s">
        <v>71</v>
      </c>
      <c r="R17" s="5" t="s">
        <v>65</v>
      </c>
    </row>
    <row r="18" spans="1:18">
      <c r="A18" s="5" t="s">
        <v>81</v>
      </c>
      <c r="B18" s="5" t="s">
        <v>58</v>
      </c>
      <c r="C18" s="5" t="s">
        <v>82</v>
      </c>
      <c r="D18" s="5" t="s">
        <v>83</v>
      </c>
      <c r="E18" s="8"/>
      <c r="F18" s="8">
        <v>200000</v>
      </c>
      <c r="G18" s="8">
        <v>7850</v>
      </c>
      <c r="H18" s="8">
        <f>G18*Meta!$C$5/1000</f>
        <v>76.9822025</v>
      </c>
      <c r="I18" s="8"/>
      <c r="J18" s="8">
        <v>0.3</v>
      </c>
      <c r="K18" s="8"/>
      <c r="L18" s="8"/>
      <c r="M18" s="5" t="s">
        <v>69</v>
      </c>
      <c r="N18" s="5" t="s">
        <v>62</v>
      </c>
      <c r="O18" s="11" t="b">
        <v>0</v>
      </c>
      <c r="P18" s="5" t="s">
        <v>84</v>
      </c>
      <c r="Q18" s="5" t="s">
        <v>85</v>
      </c>
      <c r="R18" s="5" t="s">
        <v>65</v>
      </c>
    </row>
    <row r="19" spans="1:18">
      <c r="A19" s="5" t="s">
        <v>86</v>
      </c>
      <c r="B19" s="5" t="s">
        <v>58</v>
      </c>
      <c r="C19" s="5" t="s">
        <v>87</v>
      </c>
      <c r="D19" s="5" t="s">
        <v>88</v>
      </c>
      <c r="E19" s="8"/>
      <c r="F19" s="8">
        <v>200000</v>
      </c>
      <c r="G19" s="8">
        <v>7850</v>
      </c>
      <c r="H19" s="8">
        <f>G19*Meta!$C$5/1000</f>
        <v>76.9822025</v>
      </c>
      <c r="I19" s="8"/>
      <c r="J19" s="8">
        <v>0.3</v>
      </c>
      <c r="K19" s="8"/>
      <c r="L19" s="8"/>
      <c r="M19" s="5" t="s">
        <v>69</v>
      </c>
      <c r="N19" s="5" t="s">
        <v>62</v>
      </c>
      <c r="O19" s="11" t="b">
        <v>0</v>
      </c>
      <c r="P19" s="5" t="s">
        <v>84</v>
      </c>
      <c r="Q19" s="5" t="s">
        <v>85</v>
      </c>
      <c r="R19" s="5" t="s">
        <v>65</v>
      </c>
    </row>
    <row r="20" spans="1:18">
      <c r="A20" s="5" t="s">
        <v>89</v>
      </c>
      <c r="B20" s="5" t="s">
        <v>58</v>
      </c>
      <c r="C20" s="5" t="s">
        <v>90</v>
      </c>
      <c r="D20" s="5" t="s">
        <v>91</v>
      </c>
      <c r="E20" s="8"/>
      <c r="F20" s="8">
        <v>200000</v>
      </c>
      <c r="G20" s="8">
        <v>7850</v>
      </c>
      <c r="H20" s="8">
        <f>G20*Meta!$C$5/1000</f>
        <v>76.9822025</v>
      </c>
      <c r="I20" s="8"/>
      <c r="J20" s="8">
        <v>0.3</v>
      </c>
      <c r="K20" s="8"/>
      <c r="L20" s="8"/>
      <c r="M20" s="5" t="s">
        <v>69</v>
      </c>
      <c r="N20" s="5" t="s">
        <v>62</v>
      </c>
      <c r="O20" s="11" t="b">
        <v>0</v>
      </c>
      <c r="P20" s="5" t="s">
        <v>84</v>
      </c>
      <c r="Q20" s="5" t="s">
        <v>85</v>
      </c>
      <c r="R20" s="5" t="s">
        <v>65</v>
      </c>
    </row>
    <row r="21" spans="1:18">
      <c r="A21" s="5" t="s">
        <v>92</v>
      </c>
      <c r="B21" s="5" t="s">
        <v>93</v>
      </c>
      <c r="C21" s="5" t="s">
        <v>94</v>
      </c>
      <c r="D21" s="5" t="s">
        <v>95</v>
      </c>
      <c r="E21" s="8"/>
      <c r="F21" s="8">
        <v>200000</v>
      </c>
      <c r="G21" s="8">
        <v>7850</v>
      </c>
      <c r="H21" s="8">
        <f>G21*Meta!$C$5/1000</f>
        <v>76.9822025</v>
      </c>
      <c r="I21" s="8"/>
      <c r="J21" s="8">
        <v>0.3</v>
      </c>
      <c r="K21" s="8">
        <v>300</v>
      </c>
      <c r="L21" s="8"/>
      <c r="M21" s="5" t="s">
        <v>69</v>
      </c>
      <c r="N21" s="5" t="s">
        <v>62</v>
      </c>
      <c r="O21" s="11" t="b">
        <v>0</v>
      </c>
      <c r="P21" s="5" t="s">
        <v>96</v>
      </c>
      <c r="Q21" s="5" t="s">
        <v>97</v>
      </c>
      <c r="R21" s="5" t="s">
        <v>98</v>
      </c>
    </row>
    <row r="22" spans="1:18">
      <c r="A22" s="5" t="s">
        <v>99</v>
      </c>
      <c r="B22" s="5" t="s">
        <v>93</v>
      </c>
      <c r="C22" s="5" t="s">
        <v>100</v>
      </c>
      <c r="D22" s="5" t="s">
        <v>101</v>
      </c>
      <c r="E22" s="8"/>
      <c r="F22" s="8">
        <v>200000</v>
      </c>
      <c r="G22" s="8">
        <v>7850</v>
      </c>
      <c r="H22" s="8">
        <f>G22*Meta!$C$5/1000</f>
        <v>76.9822025</v>
      </c>
      <c r="I22" s="8"/>
      <c r="J22" s="8">
        <v>0.3</v>
      </c>
      <c r="K22" s="8">
        <v>400</v>
      </c>
      <c r="L22" s="8"/>
      <c r="M22" s="5" t="s">
        <v>69</v>
      </c>
      <c r="N22" s="5" t="s">
        <v>62</v>
      </c>
      <c r="O22" s="11" t="b">
        <v>0</v>
      </c>
      <c r="P22" s="5" t="s">
        <v>96</v>
      </c>
      <c r="Q22" s="5" t="s">
        <v>97</v>
      </c>
      <c r="R22" s="5" t="s">
        <v>98</v>
      </c>
    </row>
    <row r="23" spans="1:18">
      <c r="A23" s="5" t="s">
        <v>102</v>
      </c>
      <c r="B23" s="5" t="s">
        <v>93</v>
      </c>
      <c r="C23" s="5" t="s">
        <v>103</v>
      </c>
      <c r="D23" s="5" t="s">
        <v>104</v>
      </c>
      <c r="E23" s="8"/>
      <c r="F23" s="8">
        <v>200000</v>
      </c>
      <c r="G23" s="8">
        <v>7850</v>
      </c>
      <c r="H23" s="8">
        <f>G23*Meta!$C$5/1000</f>
        <v>76.9822025</v>
      </c>
      <c r="I23" s="8"/>
      <c r="J23" s="8">
        <v>0.3</v>
      </c>
      <c r="K23" s="8">
        <v>500</v>
      </c>
      <c r="L23" s="8"/>
      <c r="M23" s="5" t="s">
        <v>69</v>
      </c>
      <c r="N23" s="5" t="s">
        <v>62</v>
      </c>
      <c r="O23" s="11" t="b">
        <v>0</v>
      </c>
      <c r="P23" s="5" t="s">
        <v>96</v>
      </c>
      <c r="Q23" s="5" t="s">
        <v>97</v>
      </c>
      <c r="R23" s="5" t="s">
        <v>98</v>
      </c>
    </row>
    <row r="24" spans="1:18">
      <c r="A24" s="5" t="s">
        <v>105</v>
      </c>
      <c r="B24" s="5" t="s">
        <v>93</v>
      </c>
      <c r="C24" s="5" t="s">
        <v>106</v>
      </c>
      <c r="D24" s="5" t="s">
        <v>107</v>
      </c>
      <c r="E24" s="8"/>
      <c r="F24" s="8">
        <v>200000</v>
      </c>
      <c r="G24" s="8">
        <v>7850</v>
      </c>
      <c r="H24" s="8">
        <f>G24*Meta!$C$5/1000</f>
        <v>76.9822025</v>
      </c>
      <c r="I24" s="8"/>
      <c r="J24" s="8">
        <v>0.3</v>
      </c>
      <c r="K24" s="8">
        <v>600</v>
      </c>
      <c r="L24" s="8"/>
      <c r="M24" s="5" t="s">
        <v>69</v>
      </c>
      <c r="N24" s="5" t="s">
        <v>62</v>
      </c>
      <c r="O24" s="11" t="b">
        <v>0</v>
      </c>
      <c r="P24" s="5" t="s">
        <v>96</v>
      </c>
      <c r="Q24" s="5" t="s">
        <v>97</v>
      </c>
      <c r="R24" s="5" t="s">
        <v>98</v>
      </c>
    </row>
    <row r="25" spans="1:18">
      <c r="A25" s="5" t="s">
        <v>108</v>
      </c>
      <c r="B25" s="5" t="s">
        <v>93</v>
      </c>
      <c r="C25" s="5" t="s">
        <v>109</v>
      </c>
      <c r="D25" s="5" t="s">
        <v>110</v>
      </c>
      <c r="E25" s="8"/>
      <c r="F25" s="8">
        <v>200000</v>
      </c>
      <c r="G25" s="8">
        <v>7850</v>
      </c>
      <c r="H25" s="8">
        <f>G25*Meta!$C$5/1000</f>
        <v>76.9822025</v>
      </c>
      <c r="I25" s="8"/>
      <c r="J25" s="8">
        <v>0.3</v>
      </c>
      <c r="K25" s="8">
        <v>400</v>
      </c>
      <c r="L25" s="8"/>
      <c r="M25" s="5" t="s">
        <v>69</v>
      </c>
      <c r="N25" s="5" t="s">
        <v>62</v>
      </c>
      <c r="O25" s="11" t="b">
        <v>0</v>
      </c>
      <c r="P25" s="5" t="s">
        <v>96</v>
      </c>
      <c r="Q25" s="5" t="s">
        <v>97</v>
      </c>
      <c r="R25" s="5" t="s">
        <v>98</v>
      </c>
    </row>
    <row r="26" spans="1:18">
      <c r="A26" s="5" t="s">
        <v>111</v>
      </c>
      <c r="B26" s="5" t="s">
        <v>93</v>
      </c>
      <c r="C26" s="5" t="s">
        <v>112</v>
      </c>
      <c r="D26" s="5" t="s">
        <v>113</v>
      </c>
      <c r="E26" s="8"/>
      <c r="F26" s="8">
        <v>200000</v>
      </c>
      <c r="G26" s="8">
        <v>7850</v>
      </c>
      <c r="H26" s="8">
        <f>G26*Meta!$C$5/1000</f>
        <v>76.9822025</v>
      </c>
      <c r="I26" s="8"/>
      <c r="J26" s="8">
        <v>0.3</v>
      </c>
      <c r="K26" s="8">
        <v>500</v>
      </c>
      <c r="L26" s="8"/>
      <c r="M26" s="5" t="s">
        <v>69</v>
      </c>
      <c r="N26" s="5" t="s">
        <v>62</v>
      </c>
      <c r="O26" s="11" t="b">
        <v>0</v>
      </c>
      <c r="P26" s="5" t="s">
        <v>96</v>
      </c>
      <c r="Q26" s="5" t="s">
        <v>97</v>
      </c>
      <c r="R26" s="5" t="s">
        <v>98</v>
      </c>
    </row>
    <row r="27" spans="1:18">
      <c r="A27" s="5" t="s">
        <v>114</v>
      </c>
      <c r="B27" s="5" t="s">
        <v>93</v>
      </c>
      <c r="C27" s="5" t="s">
        <v>115</v>
      </c>
      <c r="D27" s="5" t="s">
        <v>116</v>
      </c>
      <c r="E27" s="8"/>
      <c r="F27" s="8">
        <v>200000</v>
      </c>
      <c r="G27" s="8">
        <v>7850</v>
      </c>
      <c r="H27" s="8">
        <f>G27*Meta!$C$5/1000</f>
        <v>76.9822025</v>
      </c>
      <c r="I27" s="8"/>
      <c r="J27" s="8">
        <v>0.3</v>
      </c>
      <c r="K27" s="8">
        <v>600</v>
      </c>
      <c r="L27" s="8"/>
      <c r="M27" s="5" t="s">
        <v>69</v>
      </c>
      <c r="N27" s="5" t="s">
        <v>62</v>
      </c>
      <c r="O27" s="11" t="b">
        <v>0</v>
      </c>
      <c r="P27" s="5" t="s">
        <v>96</v>
      </c>
      <c r="Q27" s="5" t="s">
        <v>97</v>
      </c>
      <c r="R27" s="5" t="s">
        <v>98</v>
      </c>
    </row>
    <row r="28" spans="1:18">
      <c r="A28" s="5" t="s">
        <v>117</v>
      </c>
      <c r="B28" s="5" t="s">
        <v>118</v>
      </c>
      <c r="C28" s="5" t="s">
        <v>119</v>
      </c>
      <c r="D28" s="5" t="s">
        <v>120</v>
      </c>
      <c r="E28" s="8"/>
      <c r="F28" s="8">
        <v>69000</v>
      </c>
      <c r="G28" s="8">
        <v>2700</v>
      </c>
      <c r="H28" s="8">
        <f>G28*Meta!$C$5/1000</f>
        <v>26.477954999999998</v>
      </c>
      <c r="I28" s="8"/>
      <c r="J28" s="8">
        <v>0.33</v>
      </c>
      <c r="K28" s="8"/>
      <c r="L28" s="8"/>
      <c r="M28" s="5" t="s">
        <v>69</v>
      </c>
      <c r="N28" s="5" t="s">
        <v>62</v>
      </c>
      <c r="O28" s="11" t="b">
        <v>0</v>
      </c>
      <c r="P28" s="5" t="s">
        <v>121</v>
      </c>
      <c r="Q28" s="5" t="s">
        <v>122</v>
      </c>
      <c r="R28" s="5" t="s">
        <v>123</v>
      </c>
    </row>
    <row r="29" spans="1:18">
      <c r="A29" s="5" t="s">
        <v>124</v>
      </c>
      <c r="B29" s="5" t="s">
        <v>118</v>
      </c>
      <c r="C29" s="5" t="s">
        <v>125</v>
      </c>
      <c r="D29" s="5" t="s">
        <v>126</v>
      </c>
      <c r="E29" s="8"/>
      <c r="F29" s="8">
        <v>69000</v>
      </c>
      <c r="G29" s="8">
        <v>2700</v>
      </c>
      <c r="H29" s="8">
        <f>G29*Meta!$C$5/1000</f>
        <v>26.477954999999998</v>
      </c>
      <c r="I29" s="8"/>
      <c r="J29" s="8">
        <v>0.33</v>
      </c>
      <c r="K29" s="8"/>
      <c r="L29" s="8"/>
      <c r="M29" s="5" t="s">
        <v>69</v>
      </c>
      <c r="N29" s="5" t="s">
        <v>62</v>
      </c>
      <c r="O29" s="11" t="b">
        <v>0</v>
      </c>
      <c r="P29" s="5" t="s">
        <v>121</v>
      </c>
      <c r="Q29" s="5" t="s">
        <v>122</v>
      </c>
      <c r="R29" s="5" t="s">
        <v>123</v>
      </c>
    </row>
    <row r="30" spans="1:18">
      <c r="A30" s="5" t="s">
        <v>127</v>
      </c>
      <c r="B30" s="5" t="s">
        <v>118</v>
      </c>
      <c r="C30" s="5" t="s">
        <v>128</v>
      </c>
      <c r="D30" s="5" t="s">
        <v>129</v>
      </c>
      <c r="E30" s="8"/>
      <c r="F30" s="8">
        <v>69000</v>
      </c>
      <c r="G30" s="8">
        <v>2700</v>
      </c>
      <c r="H30" s="8">
        <f>G30*Meta!$C$5/1000</f>
        <v>26.477954999999998</v>
      </c>
      <c r="I30" s="8"/>
      <c r="J30" s="8">
        <v>0.33</v>
      </c>
      <c r="K30" s="8"/>
      <c r="L30" s="8"/>
      <c r="M30" s="5" t="s">
        <v>69</v>
      </c>
      <c r="N30" s="5" t="s">
        <v>62</v>
      </c>
      <c r="O30" s="11" t="b">
        <v>0</v>
      </c>
      <c r="P30" s="5" t="s">
        <v>121</v>
      </c>
      <c r="Q30" s="5" t="s">
        <v>122</v>
      </c>
      <c r="R30" s="5" t="s">
        <v>123</v>
      </c>
    </row>
    <row r="31" spans="1:18">
      <c r="A31" s="5" t="s">
        <v>130</v>
      </c>
      <c r="B31" s="5" t="s">
        <v>131</v>
      </c>
      <c r="C31" s="5" t="s">
        <v>132</v>
      </c>
      <c r="D31" s="5" t="s">
        <v>133</v>
      </c>
      <c r="E31" s="8"/>
      <c r="F31" s="8">
        <v>200000</v>
      </c>
      <c r="G31" s="8">
        <v>7900</v>
      </c>
      <c r="H31" s="8">
        <f>G31*Meta!$C$5/1000</f>
        <v>77.472534999999993</v>
      </c>
      <c r="I31" s="8"/>
      <c r="J31" s="8">
        <v>0.3</v>
      </c>
      <c r="K31" s="8"/>
      <c r="L31" s="8"/>
      <c r="M31" s="5" t="s">
        <v>69</v>
      </c>
      <c r="N31" s="5" t="s">
        <v>62</v>
      </c>
      <c r="O31" s="11" t="b">
        <v>0</v>
      </c>
      <c r="P31" s="5" t="s">
        <v>134</v>
      </c>
      <c r="Q31" s="5" t="s">
        <v>135</v>
      </c>
      <c r="R31" s="5" t="s">
        <v>136</v>
      </c>
    </row>
    <row r="32" spans="1:18">
      <c r="A32" s="5" t="s">
        <v>137</v>
      </c>
      <c r="B32" s="5" t="s">
        <v>131</v>
      </c>
      <c r="C32" s="5" t="s">
        <v>138</v>
      </c>
      <c r="D32" s="5" t="s">
        <v>139</v>
      </c>
      <c r="E32" s="8"/>
      <c r="F32" s="8">
        <v>200000</v>
      </c>
      <c r="G32" s="8">
        <v>7900</v>
      </c>
      <c r="H32" s="8">
        <f>G32*Meta!$C$5/1000</f>
        <v>77.472534999999993</v>
      </c>
      <c r="I32" s="8"/>
      <c r="J32" s="8">
        <v>0.3</v>
      </c>
      <c r="K32" s="8"/>
      <c r="L32" s="8"/>
      <c r="M32" s="5" t="s">
        <v>69</v>
      </c>
      <c r="N32" s="5" t="s">
        <v>62</v>
      </c>
      <c r="O32" s="11" t="b">
        <v>0</v>
      </c>
      <c r="P32" s="5" t="s">
        <v>134</v>
      </c>
      <c r="Q32" s="5" t="s">
        <v>135</v>
      </c>
      <c r="R32" s="5" t="s">
        <v>136</v>
      </c>
    </row>
    <row r="33" spans="1:18">
      <c r="A33" s="5" t="s">
        <v>140</v>
      </c>
      <c r="B33" s="5" t="s">
        <v>131</v>
      </c>
      <c r="C33" s="5" t="s">
        <v>141</v>
      </c>
      <c r="D33" s="5" t="s">
        <v>142</v>
      </c>
      <c r="E33" s="8"/>
      <c r="F33" s="8">
        <v>200000</v>
      </c>
      <c r="G33" s="8">
        <v>8000</v>
      </c>
      <c r="H33" s="8">
        <f>G33*Meta!$C$5/1000</f>
        <v>78.453199999999995</v>
      </c>
      <c r="I33" s="8"/>
      <c r="J33" s="8">
        <v>0.3</v>
      </c>
      <c r="K33" s="8"/>
      <c r="L33" s="8"/>
      <c r="M33" s="5" t="s">
        <v>69</v>
      </c>
      <c r="N33" s="5" t="s">
        <v>62</v>
      </c>
      <c r="O33" s="11" t="b">
        <v>0</v>
      </c>
      <c r="P33" s="5" t="s">
        <v>134</v>
      </c>
      <c r="Q33" s="5" t="s">
        <v>135</v>
      </c>
      <c r="R33" s="5" t="s">
        <v>136</v>
      </c>
    </row>
    <row r="34" spans="1:18">
      <c r="A34" s="5" t="s">
        <v>143</v>
      </c>
      <c r="B34" s="5" t="s">
        <v>131</v>
      </c>
      <c r="C34" s="5" t="s">
        <v>144</v>
      </c>
      <c r="D34" s="5" t="s">
        <v>145</v>
      </c>
      <c r="E34" s="8"/>
      <c r="F34" s="8">
        <v>200000</v>
      </c>
      <c r="G34" s="8">
        <v>8000</v>
      </c>
      <c r="H34" s="8">
        <f>G34*Meta!$C$5/1000</f>
        <v>78.453199999999995</v>
      </c>
      <c r="I34" s="8"/>
      <c r="J34" s="8">
        <v>0.3</v>
      </c>
      <c r="K34" s="8"/>
      <c r="L34" s="8"/>
      <c r="M34" s="5" t="s">
        <v>69</v>
      </c>
      <c r="N34" s="5" t="s">
        <v>62</v>
      </c>
      <c r="O34" s="11" t="b">
        <v>0</v>
      </c>
      <c r="P34" s="5" t="s">
        <v>134</v>
      </c>
      <c r="Q34" s="5" t="s">
        <v>135</v>
      </c>
      <c r="R34" s="5" t="s">
        <v>136</v>
      </c>
    </row>
    <row r="35" spans="1:18">
      <c r="A35" s="5" t="s">
        <v>146</v>
      </c>
      <c r="B35" s="5" t="s">
        <v>147</v>
      </c>
      <c r="C35" s="5" t="s">
        <v>148</v>
      </c>
      <c r="D35" s="5" t="s">
        <v>148</v>
      </c>
      <c r="E35" s="8"/>
      <c r="F35" s="8">
        <v>200000</v>
      </c>
      <c r="G35" s="8">
        <v>7850</v>
      </c>
      <c r="H35" s="8">
        <f>G35*Meta!$C$5/1000</f>
        <v>76.9822025</v>
      </c>
      <c r="I35" s="8"/>
      <c r="J35" s="8">
        <v>0.3</v>
      </c>
      <c r="K35" s="8"/>
      <c r="L35" s="8"/>
      <c r="M35" s="5" t="s">
        <v>69</v>
      </c>
      <c r="N35" s="5" t="s">
        <v>62</v>
      </c>
      <c r="O35" s="11" t="b">
        <v>0</v>
      </c>
      <c r="P35" s="5" t="s">
        <v>149</v>
      </c>
      <c r="Q35" s="5" t="s">
        <v>150</v>
      </c>
      <c r="R35" s="5" t="s">
        <v>151</v>
      </c>
    </row>
    <row r="36" spans="1:18">
      <c r="A36" s="5" t="s">
        <v>152</v>
      </c>
      <c r="B36" s="5" t="s">
        <v>147</v>
      </c>
      <c r="C36" s="5" t="s">
        <v>153</v>
      </c>
      <c r="D36" s="5" t="s">
        <v>153</v>
      </c>
      <c r="E36" s="8"/>
      <c r="F36" s="8">
        <v>200000</v>
      </c>
      <c r="G36" s="8">
        <v>7850</v>
      </c>
      <c r="H36" s="8">
        <f>G36*Meta!$C$5/1000</f>
        <v>76.9822025</v>
      </c>
      <c r="I36" s="8"/>
      <c r="J36" s="8">
        <v>0.3</v>
      </c>
      <c r="K36" s="8"/>
      <c r="L36" s="8"/>
      <c r="M36" s="5" t="s">
        <v>69</v>
      </c>
      <c r="N36" s="5" t="s">
        <v>62</v>
      </c>
      <c r="O36" s="11" t="b">
        <v>0</v>
      </c>
      <c r="P36" s="5" t="s">
        <v>154</v>
      </c>
      <c r="Q36" s="5" t="s">
        <v>155</v>
      </c>
      <c r="R36" s="5" t="s">
        <v>151</v>
      </c>
    </row>
    <row r="37" spans="1:18">
      <c r="A37" s="5" t="s">
        <v>156</v>
      </c>
      <c r="B37" s="5" t="s">
        <v>147</v>
      </c>
      <c r="C37" s="5" t="s">
        <v>157</v>
      </c>
      <c r="D37" s="5" t="s">
        <v>157</v>
      </c>
      <c r="E37" s="8"/>
      <c r="F37" s="8">
        <v>200000</v>
      </c>
      <c r="G37" s="8">
        <v>7850</v>
      </c>
      <c r="H37" s="8">
        <f>G37*Meta!$C$5/1000</f>
        <v>76.9822025</v>
      </c>
      <c r="I37" s="8"/>
      <c r="J37" s="8">
        <v>0.3</v>
      </c>
      <c r="K37" s="8"/>
      <c r="L37" s="8"/>
      <c r="M37" s="5" t="s">
        <v>69</v>
      </c>
      <c r="N37" s="5" t="s">
        <v>62</v>
      </c>
      <c r="O37" s="11" t="b">
        <v>0</v>
      </c>
      <c r="P37" s="5" t="s">
        <v>149</v>
      </c>
      <c r="Q37" s="5" t="s">
        <v>150</v>
      </c>
      <c r="R37" s="5" t="s">
        <v>151</v>
      </c>
    </row>
    <row r="38" spans="1:18">
      <c r="A38" s="5" t="s">
        <v>158</v>
      </c>
      <c r="B38" s="5" t="s">
        <v>159</v>
      </c>
      <c r="C38" s="5" t="s">
        <v>160</v>
      </c>
      <c r="D38" s="5" t="s">
        <v>160</v>
      </c>
      <c r="E38" s="8"/>
      <c r="F38" s="8"/>
      <c r="G38" s="8">
        <v>7850</v>
      </c>
      <c r="H38" s="8">
        <f>G38*Meta!$C$5/1000</f>
        <v>76.9822025</v>
      </c>
      <c r="I38" s="8"/>
      <c r="J38" s="8"/>
      <c r="K38" s="8"/>
      <c r="L38" s="8"/>
      <c r="M38" s="5" t="s">
        <v>69</v>
      </c>
      <c r="N38" s="5" t="s">
        <v>62</v>
      </c>
      <c r="O38" s="11" t="b">
        <v>0</v>
      </c>
      <c r="P38" s="5" t="s">
        <v>161</v>
      </c>
      <c r="Q38" s="5" t="s">
        <v>162</v>
      </c>
      <c r="R38" s="5" t="s">
        <v>163</v>
      </c>
    </row>
    <row r="39" spans="1:18">
      <c r="A39" s="5" t="s">
        <v>164</v>
      </c>
      <c r="B39" s="5" t="s">
        <v>159</v>
      </c>
      <c r="C39" s="5" t="s">
        <v>165</v>
      </c>
      <c r="D39" s="5" t="s">
        <v>165</v>
      </c>
      <c r="E39" s="8"/>
      <c r="F39" s="8"/>
      <c r="G39" s="8">
        <v>7850</v>
      </c>
      <c r="H39" s="8">
        <f>G39*Meta!$C$5/1000</f>
        <v>76.9822025</v>
      </c>
      <c r="I39" s="8"/>
      <c r="J39" s="8"/>
      <c r="K39" s="8"/>
      <c r="L39" s="8"/>
      <c r="M39" s="5" t="s">
        <v>69</v>
      </c>
      <c r="N39" s="5" t="s">
        <v>62</v>
      </c>
      <c r="O39" s="11" t="b">
        <v>0</v>
      </c>
      <c r="P39" s="5" t="s">
        <v>161</v>
      </c>
      <c r="Q39" s="5" t="s">
        <v>162</v>
      </c>
      <c r="R39" s="5" t="s">
        <v>163</v>
      </c>
    </row>
    <row r="40" spans="1:18">
      <c r="A40" s="5" t="s">
        <v>166</v>
      </c>
      <c r="B40" s="5" t="s">
        <v>159</v>
      </c>
      <c r="C40" s="5" t="s">
        <v>167</v>
      </c>
      <c r="D40" s="5" t="s">
        <v>167</v>
      </c>
      <c r="E40" s="8"/>
      <c r="F40" s="8"/>
      <c r="G40" s="8">
        <v>7850</v>
      </c>
      <c r="H40" s="8">
        <f>G40*Meta!$C$5/1000</f>
        <v>76.9822025</v>
      </c>
      <c r="I40" s="8"/>
      <c r="J40" s="8"/>
      <c r="K40" s="8"/>
      <c r="L40" s="8"/>
      <c r="M40" s="5" t="s">
        <v>69</v>
      </c>
      <c r="N40" s="5" t="s">
        <v>62</v>
      </c>
      <c r="O40" s="11" t="b">
        <v>0</v>
      </c>
      <c r="P40" s="5" t="s">
        <v>161</v>
      </c>
      <c r="Q40" s="5" t="s">
        <v>162</v>
      </c>
      <c r="R40" s="5" t="s">
        <v>163</v>
      </c>
    </row>
    <row r="41" spans="1:18">
      <c r="A41" s="5" t="s">
        <v>168</v>
      </c>
      <c r="B41" s="5" t="s">
        <v>169</v>
      </c>
      <c r="C41" s="5" t="s">
        <v>170</v>
      </c>
      <c r="D41" s="5" t="s">
        <v>170</v>
      </c>
      <c r="E41" s="8"/>
      <c r="F41" s="8"/>
      <c r="G41" s="8">
        <v>750</v>
      </c>
      <c r="H41" s="8">
        <f>G41*Meta!$C$5/1000</f>
        <v>7.3549874999999991</v>
      </c>
      <c r="I41" s="8"/>
      <c r="J41" s="8"/>
      <c r="K41" s="8"/>
      <c r="L41" s="8"/>
      <c r="M41" s="5" t="s">
        <v>61</v>
      </c>
      <c r="N41" s="5" t="s">
        <v>62</v>
      </c>
      <c r="O41" s="11" t="b">
        <v>0</v>
      </c>
      <c r="P41" s="5" t="s">
        <v>171</v>
      </c>
      <c r="Q41" s="5" t="s">
        <v>172</v>
      </c>
      <c r="R41" s="5" t="s">
        <v>173</v>
      </c>
    </row>
    <row r="42" spans="1:18">
      <c r="A42" s="5" t="s">
        <v>174</v>
      </c>
      <c r="B42" s="5" t="s">
        <v>169</v>
      </c>
      <c r="C42" s="5" t="s">
        <v>175</v>
      </c>
      <c r="D42" s="5" t="s">
        <v>175</v>
      </c>
      <c r="E42" s="8"/>
      <c r="F42" s="8"/>
      <c r="G42" s="8"/>
      <c r="H42" s="8"/>
      <c r="I42" s="8"/>
      <c r="J42" s="8"/>
      <c r="K42" s="8"/>
      <c r="L42" s="8"/>
      <c r="M42" s="5" t="s">
        <v>69</v>
      </c>
      <c r="N42" s="5" t="s">
        <v>62</v>
      </c>
      <c r="O42" s="11" t="b">
        <v>0</v>
      </c>
      <c r="P42" s="5" t="s">
        <v>171</v>
      </c>
      <c r="Q42" s="5" t="s">
        <v>172</v>
      </c>
      <c r="R42" s="5" t="s">
        <v>176</v>
      </c>
    </row>
    <row r="43" spans="1:18">
      <c r="A43" s="5" t="s">
        <v>177</v>
      </c>
      <c r="B43" s="5" t="s">
        <v>169</v>
      </c>
      <c r="C43" s="5" t="s">
        <v>178</v>
      </c>
      <c r="D43" s="5" t="s">
        <v>179</v>
      </c>
      <c r="E43" s="8"/>
      <c r="F43" s="8"/>
      <c r="G43" s="8"/>
      <c r="H43" s="8"/>
      <c r="I43" s="8"/>
      <c r="J43" s="8"/>
      <c r="K43" s="8"/>
      <c r="L43" s="8"/>
      <c r="M43" s="5" t="s">
        <v>69</v>
      </c>
      <c r="N43" s="5" t="s">
        <v>62</v>
      </c>
      <c r="O43" s="11" t="b">
        <v>0</v>
      </c>
      <c r="P43" s="5" t="s">
        <v>171</v>
      </c>
      <c r="Q43" s="5" t="s">
        <v>172</v>
      </c>
      <c r="R43" s="5" t="s">
        <v>180</v>
      </c>
    </row>
    <row r="44" spans="1:18">
      <c r="A44" s="6" t="s">
        <v>181</v>
      </c>
      <c r="B44" s="6" t="s">
        <v>182</v>
      </c>
      <c r="C44" s="6" t="s">
        <v>182</v>
      </c>
      <c r="D44" s="6" t="s">
        <v>182</v>
      </c>
      <c r="E44" s="9"/>
      <c r="F44" s="9"/>
      <c r="G44" s="9"/>
      <c r="H44" s="9"/>
      <c r="I44" s="9"/>
      <c r="J44" s="9"/>
      <c r="K44" s="9"/>
      <c r="L44" s="9"/>
      <c r="M44" s="6" t="s">
        <v>183</v>
      </c>
      <c r="N44" s="6" t="s">
        <v>183</v>
      </c>
      <c r="O44" s="12" t="b">
        <v>0</v>
      </c>
      <c r="P44" s="6" t="s">
        <v>184</v>
      </c>
      <c r="Q44" s="6" t="s">
        <v>185</v>
      </c>
      <c r="R44" s="6" t="s">
        <v>186</v>
      </c>
    </row>
  </sheetData>
  <phoneticPr fontId="4" type="noConversion"/>
  <conditionalFormatting sqref="N2:N44">
    <cfRule type="containsText" dxfId="2" priority="1" operator="containsText" text="PENDING"/>
  </conditionalFormatting>
  <dataValidations count="2">
    <dataValidation type="list" sqref="M2:M44" xr:uid="{00000000-0002-0000-0000-000000000000}">
      <formula1>"CONSTANT,FORMULA,CONDITIONAL,USER_DEFINED"</formula1>
    </dataValidation>
    <dataValidation type="list" sqref="N2:N44" xr:uid="{00000000-0002-0000-0000-000001000000}">
      <formula1>"VERIFIED,PENDING,USER_DEFINED"</formula1>
    </dataValidation>
  </dataValidations>
  <pageMargins left="0.7" right="0.7" top="0.75" bottom="0.75" header="0.3" footer="0.3"/>
  <drawing r:id="rId1"/>
  <legacy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1"/>
  <sheetViews>
    <sheetView showGridLines="0" workbookViewId="0"/>
  </sheetViews>
  <sheetFormatPr defaultRowHeight="13.8"/>
  <cols>
    <col min="1" max="1" width="20" customWidth="1"/>
    <col min="2" max="2" width="16" customWidth="1"/>
    <col min="3" max="3" width="20" customWidth="1"/>
    <col min="4" max="4" width="12" customWidth="1"/>
    <col min="5" max="5" width="15" customWidth="1"/>
    <col min="6" max="6" width="12" customWidth="1"/>
    <col min="7" max="7" width="15" customWidth="1"/>
    <col min="8" max="8" width="14" customWidth="1"/>
    <col min="9" max="9" width="18" customWidth="1"/>
    <col min="10" max="11" width="16" customWidth="1"/>
    <col min="12" max="12" width="13" customWidth="1"/>
    <col min="13" max="13" width="18" customWidth="1"/>
    <col min="14" max="14" width="58" customWidth="1"/>
  </cols>
  <sheetData>
    <row r="1" spans="1:14" ht="36" customHeight="1">
      <c r="A1" s="1" t="s">
        <v>0</v>
      </c>
      <c r="B1" s="2" t="s">
        <v>187</v>
      </c>
      <c r="C1" s="2" t="s">
        <v>188</v>
      </c>
      <c r="D1" s="2" t="s">
        <v>189</v>
      </c>
      <c r="E1" s="2" t="s">
        <v>190</v>
      </c>
      <c r="F1" s="2" t="s">
        <v>191</v>
      </c>
      <c r="G1" s="2" t="s">
        <v>192</v>
      </c>
      <c r="H1" s="2" t="s">
        <v>193</v>
      </c>
      <c r="I1" s="2" t="s">
        <v>194</v>
      </c>
      <c r="J1" s="2" t="s">
        <v>195</v>
      </c>
      <c r="K1" s="2" t="s">
        <v>196</v>
      </c>
      <c r="L1" s="2" t="s">
        <v>197</v>
      </c>
      <c r="M1" s="2" t="s">
        <v>16</v>
      </c>
      <c r="N1" s="3" t="s">
        <v>17</v>
      </c>
    </row>
    <row r="2" spans="1:14">
      <c r="A2" s="4" t="s">
        <v>57</v>
      </c>
      <c r="B2" s="4" t="s">
        <v>10</v>
      </c>
      <c r="C2" s="4" t="s">
        <v>198</v>
      </c>
      <c r="D2" s="13">
        <v>0</v>
      </c>
      <c r="E2" s="10" t="b">
        <v>0</v>
      </c>
      <c r="F2" s="13">
        <v>16</v>
      </c>
      <c r="G2" s="10" t="b">
        <v>1</v>
      </c>
      <c r="H2" s="4" t="s">
        <v>199</v>
      </c>
      <c r="I2" s="4"/>
      <c r="J2" s="4"/>
      <c r="K2" s="4">
        <v>275</v>
      </c>
      <c r="L2" s="4" t="s">
        <v>200</v>
      </c>
      <c r="M2" s="4" t="s">
        <v>64</v>
      </c>
      <c r="N2" s="4" t="s">
        <v>201</v>
      </c>
    </row>
    <row r="3" spans="1:14">
      <c r="A3" s="5" t="s">
        <v>57</v>
      </c>
      <c r="B3" s="5" t="s">
        <v>10</v>
      </c>
      <c r="C3" s="5" t="s">
        <v>198</v>
      </c>
      <c r="D3" s="14">
        <v>16</v>
      </c>
      <c r="E3" s="11" t="b">
        <v>0</v>
      </c>
      <c r="F3" s="14">
        <v>40</v>
      </c>
      <c r="G3" s="11" t="b">
        <v>1</v>
      </c>
      <c r="H3" s="5" t="s">
        <v>199</v>
      </c>
      <c r="I3" s="5"/>
      <c r="J3" s="5"/>
      <c r="K3" s="5"/>
      <c r="L3" s="5" t="s">
        <v>200</v>
      </c>
      <c r="M3" s="5" t="s">
        <v>64</v>
      </c>
      <c r="N3" s="5" t="s">
        <v>202</v>
      </c>
    </row>
    <row r="4" spans="1:14">
      <c r="A4" s="5" t="s">
        <v>72</v>
      </c>
      <c r="B4" s="5" t="s">
        <v>10</v>
      </c>
      <c r="C4" s="5" t="s">
        <v>198</v>
      </c>
      <c r="D4" s="14">
        <v>0</v>
      </c>
      <c r="E4" s="11" t="b">
        <v>0</v>
      </c>
      <c r="F4" s="14">
        <v>16</v>
      </c>
      <c r="G4" s="11" t="b">
        <v>1</v>
      </c>
      <c r="H4" s="5" t="s">
        <v>199</v>
      </c>
      <c r="I4" s="5"/>
      <c r="J4" s="5"/>
      <c r="K4" s="5"/>
      <c r="L4" s="5" t="s">
        <v>200</v>
      </c>
      <c r="M4" s="5" t="s">
        <v>71</v>
      </c>
      <c r="N4" s="5" t="s">
        <v>203</v>
      </c>
    </row>
    <row r="5" spans="1:14">
      <c r="A5" s="5" t="s">
        <v>75</v>
      </c>
      <c r="B5" s="5" t="s">
        <v>10</v>
      </c>
      <c r="C5" s="5" t="s">
        <v>198</v>
      </c>
      <c r="D5" s="14">
        <v>0</v>
      </c>
      <c r="E5" s="11" t="b">
        <v>0</v>
      </c>
      <c r="F5" s="14">
        <v>16</v>
      </c>
      <c r="G5" s="11" t="b">
        <v>1</v>
      </c>
      <c r="H5" s="5" t="s">
        <v>199</v>
      </c>
      <c r="I5" s="5"/>
      <c r="J5" s="5"/>
      <c r="K5" s="5"/>
      <c r="L5" s="5" t="s">
        <v>200</v>
      </c>
      <c r="M5" s="5" t="s">
        <v>71</v>
      </c>
      <c r="N5" s="5" t="s">
        <v>203</v>
      </c>
    </row>
    <row r="6" spans="1:14">
      <c r="A6" s="5" t="s">
        <v>78</v>
      </c>
      <c r="B6" s="5" t="s">
        <v>10</v>
      </c>
      <c r="C6" s="5" t="s">
        <v>198</v>
      </c>
      <c r="D6" s="14">
        <v>0</v>
      </c>
      <c r="E6" s="11" t="b">
        <v>0</v>
      </c>
      <c r="F6" s="14">
        <v>16</v>
      </c>
      <c r="G6" s="11" t="b">
        <v>1</v>
      </c>
      <c r="H6" s="5" t="s">
        <v>199</v>
      </c>
      <c r="I6" s="5"/>
      <c r="J6" s="5"/>
      <c r="K6" s="5"/>
      <c r="L6" s="5" t="s">
        <v>200</v>
      </c>
      <c r="M6" s="5" t="s">
        <v>71</v>
      </c>
      <c r="N6" s="5" t="s">
        <v>203</v>
      </c>
    </row>
    <row r="7" spans="1:14">
      <c r="A7" s="5" t="s">
        <v>168</v>
      </c>
      <c r="B7" s="5" t="s">
        <v>5</v>
      </c>
      <c r="C7" s="5" t="s">
        <v>198</v>
      </c>
      <c r="D7" s="14">
        <v>10</v>
      </c>
      <c r="E7" s="11" t="b">
        <v>0</v>
      </c>
      <c r="F7" s="14">
        <v>12</v>
      </c>
      <c r="G7" s="11" t="b">
        <v>1</v>
      </c>
      <c r="H7" s="5" t="s">
        <v>199</v>
      </c>
      <c r="I7" s="5"/>
      <c r="J7" s="5"/>
      <c r="K7" s="5">
        <v>2500</v>
      </c>
      <c r="L7" s="5" t="s">
        <v>200</v>
      </c>
      <c r="M7" s="5" t="s">
        <v>172</v>
      </c>
      <c r="N7" s="5" t="s">
        <v>204</v>
      </c>
    </row>
    <row r="8" spans="1:14">
      <c r="A8" s="5" t="s">
        <v>168</v>
      </c>
      <c r="B8" s="5" t="s">
        <v>5</v>
      </c>
      <c r="C8" s="5" t="s">
        <v>198</v>
      </c>
      <c r="D8" s="14">
        <v>12</v>
      </c>
      <c r="E8" s="11" t="b">
        <v>0</v>
      </c>
      <c r="F8" s="14">
        <v>19</v>
      </c>
      <c r="G8" s="11" t="b">
        <v>1</v>
      </c>
      <c r="H8" s="5" t="s">
        <v>199</v>
      </c>
      <c r="I8" s="5"/>
      <c r="J8" s="5"/>
      <c r="K8" s="5">
        <v>2200</v>
      </c>
      <c r="L8" s="5" t="s">
        <v>200</v>
      </c>
      <c r="M8" s="5" t="s">
        <v>172</v>
      </c>
      <c r="N8" s="5" t="s">
        <v>205</v>
      </c>
    </row>
    <row r="9" spans="1:14">
      <c r="A9" s="5" t="s">
        <v>168</v>
      </c>
      <c r="B9" s="5" t="s">
        <v>5</v>
      </c>
      <c r="C9" s="5" t="s">
        <v>198</v>
      </c>
      <c r="D9" s="14">
        <v>19</v>
      </c>
      <c r="E9" s="11" t="b">
        <v>0</v>
      </c>
      <c r="F9" s="14">
        <v>30</v>
      </c>
      <c r="G9" s="11" t="b">
        <v>1</v>
      </c>
      <c r="H9" s="5" t="s">
        <v>199</v>
      </c>
      <c r="I9" s="5"/>
      <c r="J9" s="5"/>
      <c r="K9" s="5">
        <v>2100</v>
      </c>
      <c r="L9" s="5" t="s">
        <v>200</v>
      </c>
      <c r="M9" s="5" t="s">
        <v>172</v>
      </c>
      <c r="N9" s="5" t="s">
        <v>205</v>
      </c>
    </row>
    <row r="10" spans="1:14">
      <c r="A10" s="5" t="s">
        <v>168</v>
      </c>
      <c r="B10" s="5" t="s">
        <v>5</v>
      </c>
      <c r="C10" s="5" t="s">
        <v>198</v>
      </c>
      <c r="D10" s="14">
        <v>30</v>
      </c>
      <c r="E10" s="11" t="b">
        <v>0</v>
      </c>
      <c r="F10" s="14">
        <v>45</v>
      </c>
      <c r="G10" s="11" t="b">
        <v>1</v>
      </c>
      <c r="H10" s="5" t="s">
        <v>199</v>
      </c>
      <c r="I10" s="5"/>
      <c r="J10" s="5"/>
      <c r="K10" s="5">
        <v>1900</v>
      </c>
      <c r="L10" s="5" t="s">
        <v>200</v>
      </c>
      <c r="M10" s="5" t="s">
        <v>172</v>
      </c>
      <c r="N10" s="5" t="s">
        <v>205</v>
      </c>
    </row>
    <row r="11" spans="1:14">
      <c r="A11" s="6" t="s">
        <v>168</v>
      </c>
      <c r="B11" s="6" t="s">
        <v>5</v>
      </c>
      <c r="C11" s="6" t="s">
        <v>198</v>
      </c>
      <c r="D11" s="15">
        <v>45</v>
      </c>
      <c r="E11" s="12" t="b">
        <v>0</v>
      </c>
      <c r="F11" s="15"/>
      <c r="G11" s="15"/>
      <c r="H11" s="6" t="s">
        <v>199</v>
      </c>
      <c r="I11" s="6"/>
      <c r="J11" s="6"/>
      <c r="K11" s="6">
        <v>1700</v>
      </c>
      <c r="L11" s="6" t="s">
        <v>200</v>
      </c>
      <c r="M11" s="6" t="s">
        <v>172</v>
      </c>
      <c r="N11" s="6" t="s">
        <v>206</v>
      </c>
    </row>
  </sheetData>
  <phoneticPr fontId="4" type="noConversion"/>
  <pageMargins left="0.7" right="0.7" top="0.75" bottom="0.75" header="0.3" footer="0.3"/>
  <drawing r:id="rId1"/>
  <legacy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9"/>
  <sheetViews>
    <sheetView showGridLines="0" workbookViewId="0"/>
  </sheetViews>
  <sheetFormatPr defaultRowHeight="13.8"/>
  <cols>
    <col min="1" max="1" width="26" customWidth="1"/>
    <col min="2" max="3" width="16" customWidth="1"/>
    <col min="4" max="4" width="23" customWidth="1"/>
    <col min="5" max="5" width="28" customWidth="1"/>
    <col min="6" max="6" width="30" customWidth="1"/>
    <col min="7" max="7" width="14" customWidth="1"/>
    <col min="8" max="10" width="16" customWidth="1"/>
    <col min="11" max="11" width="18" customWidth="1"/>
    <col min="12" max="12" width="22" customWidth="1"/>
    <col min="13" max="13" width="26" customWidth="1"/>
    <col min="14" max="14" width="18" customWidth="1"/>
    <col min="15" max="23" width="11" customWidth="1"/>
  </cols>
  <sheetData>
    <row r="1" spans="1:23" ht="36" customHeight="1">
      <c r="A1" s="1" t="s">
        <v>207</v>
      </c>
      <c r="B1" s="2" t="s">
        <v>1</v>
      </c>
      <c r="C1" s="2" t="s">
        <v>208</v>
      </c>
      <c r="D1" s="2" t="s">
        <v>209</v>
      </c>
      <c r="E1" s="2" t="s">
        <v>210</v>
      </c>
      <c r="F1" s="2" t="s">
        <v>211</v>
      </c>
      <c r="G1" s="2" t="s">
        <v>212</v>
      </c>
      <c r="H1" s="2" t="s">
        <v>213</v>
      </c>
      <c r="I1" s="2" t="s">
        <v>214</v>
      </c>
      <c r="J1" s="2" t="s">
        <v>215</v>
      </c>
      <c r="K1" s="2" t="s">
        <v>216</v>
      </c>
      <c r="L1" s="2" t="s">
        <v>217</v>
      </c>
      <c r="M1" s="2" t="s">
        <v>218</v>
      </c>
      <c r="N1" s="2" t="s">
        <v>16</v>
      </c>
      <c r="O1" s="2" t="s">
        <v>219</v>
      </c>
      <c r="P1" s="2" t="s">
        <v>220</v>
      </c>
      <c r="Q1" s="2" t="s">
        <v>221</v>
      </c>
      <c r="R1" s="2" t="s">
        <v>222</v>
      </c>
      <c r="S1" s="2" t="s">
        <v>412</v>
      </c>
      <c r="T1" s="2" t="s">
        <v>413</v>
      </c>
      <c r="U1" s="2" t="s">
        <v>223</v>
      </c>
      <c r="V1" s="2" t="s">
        <v>224</v>
      </c>
      <c r="W1" s="3" t="s">
        <v>414</v>
      </c>
    </row>
    <row r="2" spans="1:23">
      <c r="A2" s="4" t="s">
        <v>225</v>
      </c>
      <c r="B2" s="4" t="s">
        <v>226</v>
      </c>
      <c r="C2" s="4" t="s">
        <v>227</v>
      </c>
      <c r="D2" s="4" t="s">
        <v>228</v>
      </c>
      <c r="E2" s="4" t="s">
        <v>182</v>
      </c>
      <c r="F2" s="4" t="s">
        <v>229</v>
      </c>
      <c r="G2" s="16">
        <f>S2*T2</f>
        <v>150000</v>
      </c>
      <c r="H2" s="16">
        <f>S2*POWER(T2,3)/12</f>
        <v>3125000000</v>
      </c>
      <c r="I2" s="16">
        <f>T2*POWER(S2,3)/12</f>
        <v>1125000000</v>
      </c>
      <c r="J2" s="16">
        <f>MAX(S2,T2)*POWER(MIN(S2,T2),3)*(1/3-0.21*MIN(S2,T2)/MAX(S2,T2)*(1-POWER(MIN(S2,T2),4)/(12*POWER(MAX(S2,T2),4))))</f>
        <v>2817370799.9999995</v>
      </c>
      <c r="K2" s="4" t="s">
        <v>230</v>
      </c>
      <c r="L2" s="19"/>
      <c r="M2" s="19"/>
      <c r="N2" s="4" t="s">
        <v>231</v>
      </c>
      <c r="O2" s="4"/>
      <c r="P2" s="4"/>
      <c r="Q2" s="4"/>
      <c r="R2" s="4"/>
      <c r="S2" s="4">
        <v>300</v>
      </c>
      <c r="T2" s="4">
        <v>500</v>
      </c>
      <c r="U2" s="4"/>
      <c r="V2" s="4"/>
      <c r="W2" s="4"/>
    </row>
    <row r="3" spans="1:23">
      <c r="A3" s="5" t="s">
        <v>232</v>
      </c>
      <c r="B3" s="5" t="s">
        <v>226</v>
      </c>
      <c r="C3" s="5" t="s">
        <v>233</v>
      </c>
      <c r="D3" s="5" t="s">
        <v>234</v>
      </c>
      <c r="E3" s="5" t="s">
        <v>182</v>
      </c>
      <c r="F3" s="5" t="s">
        <v>235</v>
      </c>
      <c r="G3" s="17">
        <f>PI()*POWER(V3,2)/4</f>
        <v>70685.83470577035</v>
      </c>
      <c r="H3" s="17">
        <f>PI()*POWER(V3,4)/64</f>
        <v>397607820.21995819</v>
      </c>
      <c r="I3" s="17">
        <f>PI()*POWER(V3,4)/64</f>
        <v>397607820.21995819</v>
      </c>
      <c r="J3" s="17">
        <f>PI()*POWER(V3,4)/32</f>
        <v>795215640.43991637</v>
      </c>
      <c r="K3" s="5" t="s">
        <v>230</v>
      </c>
      <c r="L3" s="20"/>
      <c r="M3" s="20"/>
      <c r="N3" s="5" t="s">
        <v>231</v>
      </c>
      <c r="O3" s="5"/>
      <c r="P3" s="5"/>
      <c r="Q3" s="5"/>
      <c r="R3" s="5"/>
      <c r="S3" s="5"/>
      <c r="T3" s="5"/>
      <c r="U3" s="5"/>
      <c r="V3" s="5">
        <v>300</v>
      </c>
      <c r="W3" s="5"/>
    </row>
    <row r="4" spans="1:23">
      <c r="A4" s="5" t="s">
        <v>236</v>
      </c>
      <c r="B4" s="5" t="s">
        <v>237</v>
      </c>
      <c r="C4" s="5" t="s">
        <v>238</v>
      </c>
      <c r="D4" s="5" t="s">
        <v>239</v>
      </c>
      <c r="E4" s="5" t="s">
        <v>58</v>
      </c>
      <c r="F4" s="5" t="s">
        <v>240</v>
      </c>
      <c r="G4" s="17">
        <f>P4*R4*2+Q4*(O4-2*R4)</f>
        <v>11700</v>
      </c>
      <c r="H4" s="17">
        <f>(P4*POWER(O4,3)-(P4-Q4)*POWER(O4-2*R4,3))/12</f>
        <v>199327500</v>
      </c>
      <c r="I4" s="17">
        <f>(2*R4*POWER(P4,3)+(O4-2*R4)*POWER(Q4,3))/12</f>
        <v>67522500</v>
      </c>
      <c r="J4" s="17">
        <f>(2*P4*POWER(R4,3)+(O4-2*R4)*POWER(Q4,3))/3</f>
        <v>765000</v>
      </c>
      <c r="K4" s="5" t="s">
        <v>230</v>
      </c>
      <c r="L4" s="20">
        <v>91.844999999999999</v>
      </c>
      <c r="M4" s="20">
        <f>L4*Meta!$C$5/1000</f>
        <v>0.90069176924999983</v>
      </c>
      <c r="N4" s="5" t="s">
        <v>241</v>
      </c>
      <c r="O4" s="5">
        <v>300</v>
      </c>
      <c r="P4" s="5">
        <v>300</v>
      </c>
      <c r="Q4" s="5">
        <v>10</v>
      </c>
      <c r="R4" s="5">
        <v>15</v>
      </c>
      <c r="S4" s="5"/>
      <c r="T4" s="5"/>
      <c r="U4" s="5"/>
      <c r="V4" s="5"/>
      <c r="W4" s="5"/>
    </row>
    <row r="5" spans="1:23">
      <c r="A5" s="5" t="s">
        <v>242</v>
      </c>
      <c r="B5" s="5" t="s">
        <v>237</v>
      </c>
      <c r="C5" s="5" t="s">
        <v>243</v>
      </c>
      <c r="D5" s="5" t="s">
        <v>244</v>
      </c>
      <c r="E5" s="5" t="s">
        <v>58</v>
      </c>
      <c r="F5" s="5" t="s">
        <v>245</v>
      </c>
      <c r="G5" s="17">
        <f>P5*R5*2+Q5*(O5-2*R5)</f>
        <v>3095</v>
      </c>
      <c r="H5" s="17"/>
      <c r="I5" s="17"/>
      <c r="J5" s="17">
        <f>(2*P5*POWER(R5,3)+(O5-2*R5)*POWER(Q5,3))/3</f>
        <v>96017.916666666672</v>
      </c>
      <c r="K5" s="5" t="s">
        <v>230</v>
      </c>
      <c r="L5" s="20">
        <v>24.295750000000002</v>
      </c>
      <c r="M5" s="20">
        <f>L5*Meta!$C$5/1000</f>
        <v>0.23825991673749999</v>
      </c>
      <c r="N5" s="5" t="s">
        <v>241</v>
      </c>
      <c r="O5" s="5">
        <v>200</v>
      </c>
      <c r="P5" s="5">
        <v>80</v>
      </c>
      <c r="Q5" s="5">
        <v>7.5</v>
      </c>
      <c r="R5" s="5">
        <v>11</v>
      </c>
      <c r="S5" s="5"/>
      <c r="T5" s="5"/>
      <c r="U5" s="5"/>
      <c r="V5" s="5"/>
      <c r="W5" s="5"/>
    </row>
    <row r="6" spans="1:23">
      <c r="A6" s="5" t="s">
        <v>246</v>
      </c>
      <c r="B6" s="5" t="s">
        <v>237</v>
      </c>
      <c r="C6" s="5" t="s">
        <v>247</v>
      </c>
      <c r="D6" s="5" t="s">
        <v>248</v>
      </c>
      <c r="E6" s="5" t="s">
        <v>58</v>
      </c>
      <c r="F6" s="5" t="s">
        <v>249</v>
      </c>
      <c r="G6" s="17">
        <f>U6*(S6+T6-U6)</f>
        <v>1900</v>
      </c>
      <c r="H6" s="17"/>
      <c r="I6" s="17"/>
      <c r="J6" s="17">
        <f>U6*POWER(S6,3)/3+U6*POWER(T6-U6,3)/3</f>
        <v>5763333.333333334</v>
      </c>
      <c r="K6" s="5" t="s">
        <v>230</v>
      </c>
      <c r="L6" s="20">
        <v>14.914999999999999</v>
      </c>
      <c r="M6" s="20">
        <f>L6*Meta!$C$5/1000</f>
        <v>0.14626618474999997</v>
      </c>
      <c r="N6" s="5" t="s">
        <v>241</v>
      </c>
      <c r="O6" s="5"/>
      <c r="P6" s="5"/>
      <c r="Q6" s="5"/>
      <c r="R6" s="5"/>
      <c r="S6" s="5">
        <v>100</v>
      </c>
      <c r="T6" s="5">
        <v>100</v>
      </c>
      <c r="U6" s="5">
        <v>10</v>
      </c>
      <c r="V6" s="5"/>
      <c r="W6" s="5"/>
    </row>
    <row r="7" spans="1:23">
      <c r="A7" s="5" t="s">
        <v>250</v>
      </c>
      <c r="B7" s="5" t="s">
        <v>251</v>
      </c>
      <c r="C7" s="5" t="s">
        <v>252</v>
      </c>
      <c r="D7" s="5" t="s">
        <v>253</v>
      </c>
      <c r="E7" s="5" t="s">
        <v>58</v>
      </c>
      <c r="F7" s="5" t="s">
        <v>254</v>
      </c>
      <c r="G7" s="17">
        <f>S7*T7-(S7-2*U7)*(T7-2*U7)</f>
        <v>6876</v>
      </c>
      <c r="H7" s="17">
        <f>(S7*POWER(T7,3)-(S7-2*U7)*POWER(T7-2*U7,3))/12</f>
        <v>41900052</v>
      </c>
      <c r="I7" s="17">
        <f>(T7*POWER(S7,3)-(T7-2*U7)*POWER(S7-2*U7,3))/12</f>
        <v>41900052</v>
      </c>
      <c r="J7" s="17">
        <f>2*U7*POWER((S7-U7)*(T7-U7),2)/(S7+T7-2*U7)</f>
        <v>62710839</v>
      </c>
      <c r="K7" s="5" t="s">
        <v>230</v>
      </c>
      <c r="L7" s="20">
        <v>53.976599999999998</v>
      </c>
      <c r="M7" s="20">
        <f>L7*Meta!$C$5/1000</f>
        <v>0.52932962438999998</v>
      </c>
      <c r="N7" s="5" t="s">
        <v>231</v>
      </c>
      <c r="O7" s="5"/>
      <c r="P7" s="5"/>
      <c r="Q7" s="5"/>
      <c r="R7" s="5"/>
      <c r="S7" s="5">
        <v>200</v>
      </c>
      <c r="T7" s="5">
        <v>200</v>
      </c>
      <c r="U7" s="5">
        <v>9</v>
      </c>
      <c r="V7" s="5"/>
      <c r="W7" s="5"/>
    </row>
    <row r="8" spans="1:23">
      <c r="A8" s="5" t="s">
        <v>255</v>
      </c>
      <c r="B8" s="5" t="s">
        <v>251</v>
      </c>
      <c r="C8" s="5" t="s">
        <v>256</v>
      </c>
      <c r="D8" s="5" t="s">
        <v>257</v>
      </c>
      <c r="E8" s="5" t="s">
        <v>58</v>
      </c>
      <c r="F8" s="5" t="s">
        <v>258</v>
      </c>
      <c r="G8" s="17">
        <f>PI()*(POWER(V8,2)-POWER(V8-2*U8,2))/4</f>
        <v>2041.4069063026482</v>
      </c>
      <c r="H8" s="17">
        <f>PI()*(POWER(V8,4)-POWER(V8-2*U8,4))/64</f>
        <v>3002115.96223637</v>
      </c>
      <c r="I8" s="17">
        <f>PI()*(POWER(V8,4)-POWER(V8-2*U8,4))/64</f>
        <v>3002115.96223637</v>
      </c>
      <c r="J8" s="17">
        <f>PI()*(POWER(V8,4)-POWER(V8-2*U8,4))/32</f>
        <v>6004231.9244727399</v>
      </c>
      <c r="K8" s="5" t="s">
        <v>230</v>
      </c>
      <c r="L8" s="20">
        <v>16.025044214475788</v>
      </c>
      <c r="M8" s="20">
        <f>L8*Meta!$C$5/1000</f>
        <v>0.15715199984588898</v>
      </c>
      <c r="N8" s="5" t="s">
        <v>231</v>
      </c>
      <c r="O8" s="5"/>
      <c r="P8" s="5"/>
      <c r="Q8" s="5"/>
      <c r="R8" s="5"/>
      <c r="S8" s="5"/>
      <c r="T8" s="5"/>
      <c r="U8" s="5">
        <v>6</v>
      </c>
      <c r="V8" s="5">
        <v>114.3</v>
      </c>
      <c r="W8" s="5"/>
    </row>
    <row r="9" spans="1:23">
      <c r="A9" s="6" t="s">
        <v>259</v>
      </c>
      <c r="B9" s="6" t="s">
        <v>159</v>
      </c>
      <c r="C9" s="6" t="s">
        <v>159</v>
      </c>
      <c r="D9" s="6" t="s">
        <v>260</v>
      </c>
      <c r="E9" s="6" t="s">
        <v>159</v>
      </c>
      <c r="F9" s="6" t="s">
        <v>261</v>
      </c>
      <c r="G9" s="18"/>
      <c r="H9" s="18"/>
      <c r="I9" s="18"/>
      <c r="J9" s="18"/>
      <c r="K9" s="6" t="s">
        <v>262</v>
      </c>
      <c r="L9" s="21"/>
      <c r="M9" s="21"/>
      <c r="N9" s="6" t="s">
        <v>162</v>
      </c>
      <c r="O9" s="6"/>
      <c r="P9" s="6"/>
      <c r="Q9" s="6"/>
      <c r="R9" s="6"/>
      <c r="S9" s="6"/>
      <c r="T9" s="6"/>
      <c r="U9" s="6"/>
      <c r="V9" s="6">
        <v>15.2</v>
      </c>
      <c r="W9" s="6"/>
    </row>
  </sheetData>
  <phoneticPr fontId="4" type="noConversion"/>
  <dataValidations count="1">
    <dataValidation type="list" sqref="K2:K9" xr:uid="{00000000-0002-0000-0200-000000000000}">
      <formula1>"CALCULATED,STANDARD_TABLE"</formula1>
    </dataValidation>
  </dataValidations>
  <pageMargins left="0.7" right="0.7" top="0.75" bottom="0.75" header="0.3" footer="0.3"/>
  <drawing r:id="rId1"/>
  <legacy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4"/>
  <sheetViews>
    <sheetView showGridLines="0" workbookViewId="0"/>
  </sheetViews>
  <sheetFormatPr defaultRowHeight="13.8"/>
  <cols>
    <col min="1" max="1" width="30" customWidth="1"/>
    <col min="2" max="2" width="18" customWidth="1"/>
    <col min="3" max="3" width="15" customWidth="1"/>
    <col min="4" max="5" width="13" customWidth="1"/>
    <col min="6" max="6" width="14" customWidth="1"/>
    <col min="7" max="7" width="22" customWidth="1"/>
    <col min="8" max="8" width="20" customWidth="1"/>
    <col min="9" max="9" width="12" customWidth="1"/>
    <col min="10" max="10" width="25" customWidth="1"/>
    <col min="11" max="11" width="23" customWidth="1"/>
    <col min="12" max="13" width="18" customWidth="1"/>
    <col min="14" max="14" width="58" customWidth="1"/>
  </cols>
  <sheetData>
    <row r="1" spans="1:14" ht="36" customHeight="1">
      <c r="A1" s="1" t="s">
        <v>207</v>
      </c>
      <c r="B1" s="2" t="s">
        <v>263</v>
      </c>
      <c r="C1" s="2" t="s">
        <v>264</v>
      </c>
      <c r="D1" s="2" t="s">
        <v>265</v>
      </c>
      <c r="E1" s="2" t="s">
        <v>266</v>
      </c>
      <c r="F1" s="2" t="s">
        <v>267</v>
      </c>
      <c r="G1" s="2" t="s">
        <v>268</v>
      </c>
      <c r="H1" s="2" t="s">
        <v>269</v>
      </c>
      <c r="I1" s="2" t="s">
        <v>270</v>
      </c>
      <c r="J1" s="2" t="s">
        <v>271</v>
      </c>
      <c r="K1" s="2" t="s">
        <v>272</v>
      </c>
      <c r="L1" s="2" t="s">
        <v>273</v>
      </c>
      <c r="M1" s="2" t="s">
        <v>274</v>
      </c>
      <c r="N1" s="3" t="s">
        <v>17</v>
      </c>
    </row>
    <row r="2" spans="1:14">
      <c r="A2" s="4" t="s">
        <v>275</v>
      </c>
      <c r="B2" s="4" t="s">
        <v>227</v>
      </c>
      <c r="C2" s="4"/>
      <c r="D2" s="4">
        <v>300</v>
      </c>
      <c r="E2" s="4">
        <v>500</v>
      </c>
      <c r="F2" s="4"/>
      <c r="G2" s="4" t="s">
        <v>30</v>
      </c>
      <c r="H2" s="4" t="s">
        <v>99</v>
      </c>
      <c r="I2" s="4">
        <v>40</v>
      </c>
      <c r="J2" s="4">
        <v>20</v>
      </c>
      <c r="K2" s="4">
        <v>4</v>
      </c>
      <c r="L2" s="4">
        <v>10</v>
      </c>
      <c r="M2" s="4">
        <v>200</v>
      </c>
      <c r="N2" s="4" t="s">
        <v>276</v>
      </c>
    </row>
    <row r="3" spans="1:14">
      <c r="A3" s="5" t="s">
        <v>277</v>
      </c>
      <c r="B3" s="5" t="s">
        <v>233</v>
      </c>
      <c r="C3" s="5"/>
      <c r="D3" s="5"/>
      <c r="E3" s="5"/>
      <c r="F3" s="5">
        <v>500</v>
      </c>
      <c r="G3" s="5" t="s">
        <v>36</v>
      </c>
      <c r="H3" s="5" t="s">
        <v>99</v>
      </c>
      <c r="I3" s="5">
        <v>40</v>
      </c>
      <c r="J3" s="5">
        <v>20</v>
      </c>
      <c r="K3" s="5">
        <v>8</v>
      </c>
      <c r="L3" s="5">
        <v>10</v>
      </c>
      <c r="M3" s="5">
        <v>200</v>
      </c>
      <c r="N3" s="5" t="s">
        <v>278</v>
      </c>
    </row>
    <row r="4" spans="1:14">
      <c r="A4" s="6" t="s">
        <v>279</v>
      </c>
      <c r="B4" s="6" t="s">
        <v>182</v>
      </c>
      <c r="C4" s="6"/>
      <c r="D4" s="6"/>
      <c r="E4" s="6"/>
      <c r="F4" s="6"/>
      <c r="G4" s="6" t="s">
        <v>181</v>
      </c>
      <c r="H4" s="6" t="s">
        <v>181</v>
      </c>
      <c r="I4" s="6"/>
      <c r="J4" s="6"/>
      <c r="K4" s="6"/>
      <c r="L4" s="6"/>
      <c r="M4" s="6"/>
      <c r="N4" s="6" t="s">
        <v>280</v>
      </c>
    </row>
  </sheetData>
  <phoneticPr fontId="4" type="noConversion"/>
  <dataValidations count="1">
    <dataValidation type="list" sqref="C2:C100" xr:uid="{00000000-0002-0000-0300-000000000000}">
      <formula1>"Beam,Column,Wall"</formula1>
    </dataValidation>
  </dataValidations>
  <pageMargins left="0.7" right="0.7" top="0.75" bottom="0.75" header="0.3" footer="0.3"/>
  <drawing r:id="rId1"/>
  <legacyDrawing r:id="rId2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6"/>
  <sheetViews>
    <sheetView showGridLines="0" workbookViewId="0"/>
  </sheetViews>
  <sheetFormatPr defaultRowHeight="13.8"/>
  <cols>
    <col min="1" max="1" width="20" customWidth="1"/>
    <col min="2" max="2" width="28" customWidth="1"/>
    <col min="3" max="3" width="42" customWidth="1"/>
    <col min="4" max="5" width="24" customWidth="1"/>
    <col min="6" max="6" width="68" customWidth="1"/>
    <col min="7" max="7" width="64" customWidth="1"/>
  </cols>
  <sheetData>
    <row r="1" spans="1:7" ht="36" customHeight="1">
      <c r="A1" s="1" t="s">
        <v>16</v>
      </c>
      <c r="B1" s="2" t="s">
        <v>281</v>
      </c>
      <c r="C1" s="2" t="s">
        <v>282</v>
      </c>
      <c r="D1" s="2" t="s">
        <v>283</v>
      </c>
      <c r="E1" s="2" t="s">
        <v>284</v>
      </c>
      <c r="F1" s="2" t="s">
        <v>285</v>
      </c>
      <c r="G1" s="3" t="s">
        <v>286</v>
      </c>
    </row>
    <row r="2" spans="1:7">
      <c r="A2" s="4" t="s">
        <v>25</v>
      </c>
      <c r="B2" s="4" t="s">
        <v>287</v>
      </c>
      <c r="C2" s="4" t="s">
        <v>24</v>
      </c>
      <c r="D2" s="4" t="s">
        <v>288</v>
      </c>
      <c r="E2" s="4" t="s">
        <v>289</v>
      </c>
      <c r="F2" s="4" t="s">
        <v>290</v>
      </c>
      <c r="G2" s="4" t="s">
        <v>291</v>
      </c>
    </row>
    <row r="3" spans="1:7">
      <c r="A3" s="5" t="s">
        <v>292</v>
      </c>
      <c r="B3" s="5" t="s">
        <v>287</v>
      </c>
      <c r="C3" s="5" t="s">
        <v>293</v>
      </c>
      <c r="D3" s="5" t="s">
        <v>294</v>
      </c>
      <c r="E3" s="5" t="s">
        <v>295</v>
      </c>
      <c r="F3" s="5" t="s">
        <v>296</v>
      </c>
      <c r="G3" s="5" t="s">
        <v>291</v>
      </c>
    </row>
    <row r="4" spans="1:7">
      <c r="A4" s="5" t="s">
        <v>64</v>
      </c>
      <c r="B4" s="5" t="s">
        <v>297</v>
      </c>
      <c r="C4" s="5" t="s">
        <v>63</v>
      </c>
      <c r="D4" s="5" t="s">
        <v>298</v>
      </c>
      <c r="E4" s="5" t="s">
        <v>299</v>
      </c>
      <c r="F4" s="5" t="s">
        <v>300</v>
      </c>
      <c r="G4" s="5" t="s">
        <v>301</v>
      </c>
    </row>
    <row r="5" spans="1:7">
      <c r="A5" s="5" t="s">
        <v>71</v>
      </c>
      <c r="B5" s="5" t="s">
        <v>297</v>
      </c>
      <c r="C5" s="5" t="s">
        <v>70</v>
      </c>
      <c r="D5" s="5" t="s">
        <v>302</v>
      </c>
      <c r="E5" s="5" t="s">
        <v>299</v>
      </c>
      <c r="F5" s="5" t="s">
        <v>303</v>
      </c>
      <c r="G5" s="5" t="s">
        <v>304</v>
      </c>
    </row>
    <row r="6" spans="1:7">
      <c r="A6" s="5" t="s">
        <v>85</v>
      </c>
      <c r="B6" s="5" t="s">
        <v>297</v>
      </c>
      <c r="C6" s="5" t="s">
        <v>84</v>
      </c>
      <c r="D6" s="5" t="s">
        <v>294</v>
      </c>
      <c r="E6" s="5" t="s">
        <v>299</v>
      </c>
      <c r="F6" s="5" t="s">
        <v>305</v>
      </c>
      <c r="G6" s="5" t="s">
        <v>306</v>
      </c>
    </row>
    <row r="7" spans="1:7">
      <c r="A7" s="5" t="s">
        <v>97</v>
      </c>
      <c r="B7" s="5" t="s">
        <v>297</v>
      </c>
      <c r="C7" s="5" t="s">
        <v>96</v>
      </c>
      <c r="D7" s="5" t="s">
        <v>307</v>
      </c>
      <c r="E7" s="5" t="s">
        <v>299</v>
      </c>
      <c r="F7" s="5" t="s">
        <v>308</v>
      </c>
      <c r="G7" s="5" t="s">
        <v>309</v>
      </c>
    </row>
    <row r="8" spans="1:7">
      <c r="A8" s="5" t="s">
        <v>122</v>
      </c>
      <c r="B8" s="5" t="s">
        <v>310</v>
      </c>
      <c r="C8" s="5" t="s">
        <v>121</v>
      </c>
      <c r="D8" s="5" t="s">
        <v>311</v>
      </c>
      <c r="E8" s="5" t="s">
        <v>312</v>
      </c>
      <c r="F8" s="5" t="s">
        <v>313</v>
      </c>
      <c r="G8" s="5" t="s">
        <v>314</v>
      </c>
    </row>
    <row r="9" spans="1:7">
      <c r="A9" s="5" t="s">
        <v>135</v>
      </c>
      <c r="B9" s="5" t="s">
        <v>315</v>
      </c>
      <c r="C9" s="5" t="s">
        <v>134</v>
      </c>
      <c r="D9" s="5" t="s">
        <v>311</v>
      </c>
      <c r="E9" s="5" t="s">
        <v>316</v>
      </c>
      <c r="F9" s="5" t="s">
        <v>317</v>
      </c>
      <c r="G9" s="5" t="s">
        <v>318</v>
      </c>
    </row>
    <row r="10" spans="1:7">
      <c r="A10" s="5" t="s">
        <v>150</v>
      </c>
      <c r="B10" s="5" t="s">
        <v>297</v>
      </c>
      <c r="C10" s="5" t="s">
        <v>149</v>
      </c>
      <c r="D10" s="5" t="s">
        <v>319</v>
      </c>
      <c r="E10" s="5" t="s">
        <v>320</v>
      </c>
      <c r="F10" s="5" t="s">
        <v>321</v>
      </c>
      <c r="G10" s="5" t="s">
        <v>322</v>
      </c>
    </row>
    <row r="11" spans="1:7">
      <c r="A11" s="5" t="s">
        <v>155</v>
      </c>
      <c r="B11" s="5" t="s">
        <v>297</v>
      </c>
      <c r="C11" s="5" t="s">
        <v>154</v>
      </c>
      <c r="D11" s="5" t="s">
        <v>294</v>
      </c>
      <c r="E11" s="5" t="s">
        <v>299</v>
      </c>
      <c r="F11" s="5" t="s">
        <v>323</v>
      </c>
      <c r="G11" s="5" t="s">
        <v>306</v>
      </c>
    </row>
    <row r="12" spans="1:7">
      <c r="A12" s="5" t="s">
        <v>162</v>
      </c>
      <c r="B12" s="5" t="s">
        <v>297</v>
      </c>
      <c r="C12" s="5" t="s">
        <v>161</v>
      </c>
      <c r="D12" s="5" t="s">
        <v>294</v>
      </c>
      <c r="E12" s="5" t="s">
        <v>324</v>
      </c>
      <c r="F12" s="5" t="s">
        <v>325</v>
      </c>
      <c r="G12" s="5" t="s">
        <v>306</v>
      </c>
    </row>
    <row r="13" spans="1:7">
      <c r="A13" s="5" t="s">
        <v>172</v>
      </c>
      <c r="B13" s="5" t="s">
        <v>326</v>
      </c>
      <c r="C13" s="5" t="s">
        <v>171</v>
      </c>
      <c r="D13" s="5" t="s">
        <v>311</v>
      </c>
      <c r="E13" s="5" t="s">
        <v>327</v>
      </c>
      <c r="F13" s="5" t="s">
        <v>328</v>
      </c>
      <c r="G13" s="5" t="s">
        <v>329</v>
      </c>
    </row>
    <row r="14" spans="1:7">
      <c r="A14" s="5" t="s">
        <v>241</v>
      </c>
      <c r="B14" s="5" t="s">
        <v>297</v>
      </c>
      <c r="C14" s="5" t="s">
        <v>330</v>
      </c>
      <c r="D14" s="5" t="s">
        <v>331</v>
      </c>
      <c r="E14" s="5" t="s">
        <v>332</v>
      </c>
      <c r="F14" s="5" t="s">
        <v>333</v>
      </c>
      <c r="G14" s="5" t="s">
        <v>306</v>
      </c>
    </row>
    <row r="15" spans="1:7">
      <c r="A15" s="5" t="s">
        <v>231</v>
      </c>
      <c r="B15" s="5" t="s">
        <v>334</v>
      </c>
      <c r="C15" s="5" t="s">
        <v>335</v>
      </c>
      <c r="D15" s="5" t="s">
        <v>336</v>
      </c>
      <c r="E15" s="5" t="s">
        <v>337</v>
      </c>
      <c r="F15" s="5" t="s">
        <v>338</v>
      </c>
      <c r="G15" s="5" t="s">
        <v>339</v>
      </c>
    </row>
    <row r="16" spans="1:7">
      <c r="A16" s="6" t="s">
        <v>185</v>
      </c>
      <c r="B16" s="6" t="s">
        <v>340</v>
      </c>
      <c r="C16" s="6" t="s">
        <v>184</v>
      </c>
      <c r="D16" s="6" t="s">
        <v>341</v>
      </c>
      <c r="E16" s="6" t="s">
        <v>341</v>
      </c>
      <c r="F16" s="6" t="s">
        <v>342</v>
      </c>
      <c r="G16" s="6"/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2"/>
  <sheetViews>
    <sheetView showGridLines="0" workbookViewId="0"/>
  </sheetViews>
  <sheetFormatPr defaultRowHeight="13.8"/>
  <cols>
    <col min="1" max="1" width="14" customWidth="1"/>
    <col min="2" max="2" width="28" customWidth="1"/>
    <col min="3" max="3" width="22" customWidth="1"/>
    <col min="4" max="4" width="14" customWidth="1"/>
    <col min="5" max="5" width="13" customWidth="1"/>
    <col min="6" max="6" width="74" customWidth="1"/>
    <col min="7" max="7" width="18" customWidth="1"/>
  </cols>
  <sheetData>
    <row r="1" spans="1:7" ht="36" customHeight="1">
      <c r="A1" s="1" t="s">
        <v>343</v>
      </c>
      <c r="B1" s="2" t="s">
        <v>344</v>
      </c>
      <c r="C1" s="2" t="s">
        <v>345</v>
      </c>
      <c r="D1" s="2" t="s">
        <v>346</v>
      </c>
      <c r="E1" s="2" t="s">
        <v>347</v>
      </c>
      <c r="F1" s="2" t="s">
        <v>348</v>
      </c>
      <c r="G1" s="3" t="s">
        <v>349</v>
      </c>
    </row>
    <row r="2" spans="1:7">
      <c r="A2" s="4" t="s">
        <v>350</v>
      </c>
      <c r="B2" s="4" t="s">
        <v>351</v>
      </c>
      <c r="C2" s="4" t="s">
        <v>352</v>
      </c>
      <c r="D2" s="4" t="s">
        <v>353</v>
      </c>
      <c r="E2" s="4" t="s">
        <v>354</v>
      </c>
      <c r="F2" s="4" t="s">
        <v>355</v>
      </c>
      <c r="G2" s="22">
        <v>46246</v>
      </c>
    </row>
    <row r="3" spans="1:7">
      <c r="A3" s="5" t="s">
        <v>356</v>
      </c>
      <c r="B3" s="5" t="s">
        <v>351</v>
      </c>
      <c r="C3" s="5" t="s">
        <v>357</v>
      </c>
      <c r="D3" s="5" t="s">
        <v>353</v>
      </c>
      <c r="E3" s="5" t="s">
        <v>354</v>
      </c>
      <c r="F3" s="5" t="s">
        <v>358</v>
      </c>
      <c r="G3" s="23">
        <v>46246</v>
      </c>
    </row>
    <row r="4" spans="1:7">
      <c r="A4" s="5" t="s">
        <v>359</v>
      </c>
      <c r="B4" s="5" t="s">
        <v>351</v>
      </c>
      <c r="C4" s="5" t="s">
        <v>360</v>
      </c>
      <c r="D4" s="5" t="s">
        <v>353</v>
      </c>
      <c r="E4" s="5" t="s">
        <v>354</v>
      </c>
      <c r="F4" s="5" t="s">
        <v>358</v>
      </c>
      <c r="G4" s="23">
        <v>46246</v>
      </c>
    </row>
    <row r="5" spans="1:7">
      <c r="A5" s="5" t="s">
        <v>361</v>
      </c>
      <c r="B5" s="5" t="s">
        <v>362</v>
      </c>
      <c r="C5" s="5" t="s">
        <v>363</v>
      </c>
      <c r="D5" s="5" t="s">
        <v>353</v>
      </c>
      <c r="E5" s="5" t="s">
        <v>354</v>
      </c>
      <c r="F5" s="5" t="s">
        <v>364</v>
      </c>
      <c r="G5" s="23">
        <v>46246</v>
      </c>
    </row>
    <row r="6" spans="1:7">
      <c r="A6" s="5" t="s">
        <v>365</v>
      </c>
      <c r="B6" s="5" t="s">
        <v>366</v>
      </c>
      <c r="C6" s="5" t="s">
        <v>363</v>
      </c>
      <c r="D6" s="5" t="s">
        <v>353</v>
      </c>
      <c r="E6" s="5" t="s">
        <v>354</v>
      </c>
      <c r="F6" s="5" t="s">
        <v>367</v>
      </c>
      <c r="G6" s="23">
        <v>46246</v>
      </c>
    </row>
    <row r="7" spans="1:7">
      <c r="A7" s="5" t="s">
        <v>368</v>
      </c>
      <c r="B7" s="5" t="s">
        <v>369</v>
      </c>
      <c r="C7" s="5" t="s">
        <v>352</v>
      </c>
      <c r="D7" s="5" t="s">
        <v>353</v>
      </c>
      <c r="E7" s="5" t="s">
        <v>354</v>
      </c>
      <c r="F7" s="5" t="s">
        <v>370</v>
      </c>
      <c r="G7" s="23">
        <v>46246</v>
      </c>
    </row>
    <row r="8" spans="1:7">
      <c r="A8" s="5" t="s">
        <v>371</v>
      </c>
      <c r="B8" s="5" t="s">
        <v>372</v>
      </c>
      <c r="C8" s="5" t="s">
        <v>373</v>
      </c>
      <c r="D8" s="5" t="s">
        <v>353</v>
      </c>
      <c r="E8" s="5" t="s">
        <v>354</v>
      </c>
      <c r="F8" s="5" t="s">
        <v>374</v>
      </c>
      <c r="G8" s="23">
        <v>46246</v>
      </c>
    </row>
    <row r="9" spans="1:7">
      <c r="A9" s="5" t="s">
        <v>375</v>
      </c>
      <c r="B9" s="5" t="s">
        <v>376</v>
      </c>
      <c r="C9" s="5" t="s">
        <v>377</v>
      </c>
      <c r="D9" s="5" t="s">
        <v>353</v>
      </c>
      <c r="E9" s="5" t="s">
        <v>354</v>
      </c>
      <c r="F9" s="5" t="s">
        <v>378</v>
      </c>
      <c r="G9" s="23">
        <v>46246</v>
      </c>
    </row>
    <row r="10" spans="1:7">
      <c r="A10" s="5" t="s">
        <v>379</v>
      </c>
      <c r="B10" s="5" t="s">
        <v>380</v>
      </c>
      <c r="C10" s="5" t="s">
        <v>357</v>
      </c>
      <c r="D10" s="5" t="s">
        <v>353</v>
      </c>
      <c r="E10" s="5" t="s">
        <v>354</v>
      </c>
      <c r="F10" s="5" t="s">
        <v>381</v>
      </c>
      <c r="G10" s="23">
        <v>46246</v>
      </c>
    </row>
    <row r="11" spans="1:7">
      <c r="A11" s="5" t="s">
        <v>382</v>
      </c>
      <c r="B11" s="5" t="s">
        <v>383</v>
      </c>
      <c r="C11" s="5" t="s">
        <v>363</v>
      </c>
      <c r="D11" s="5" t="s">
        <v>353</v>
      </c>
      <c r="E11" s="5" t="s">
        <v>354</v>
      </c>
      <c r="F11" s="5" t="s">
        <v>384</v>
      </c>
      <c r="G11" s="23">
        <v>46246</v>
      </c>
    </row>
    <row r="12" spans="1:7">
      <c r="A12" s="6" t="s">
        <v>385</v>
      </c>
      <c r="B12" s="6" t="s">
        <v>386</v>
      </c>
      <c r="C12" s="6" t="s">
        <v>352</v>
      </c>
      <c r="D12" s="6" t="s">
        <v>353</v>
      </c>
      <c r="E12" s="6" t="s">
        <v>387</v>
      </c>
      <c r="F12" s="6" t="s">
        <v>388</v>
      </c>
      <c r="G12" s="24">
        <v>46246</v>
      </c>
    </row>
  </sheetData>
  <phoneticPr fontId="4" type="noConversion"/>
  <conditionalFormatting sqref="E2:E12">
    <cfRule type="containsText" dxfId="1" priority="1" operator="containsText" text="FAIL"/>
    <cfRule type="containsText" dxfId="0" priority="2" operator="containsText" text="NOTICE"/>
  </conditionalFormatting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4"/>
  <sheetViews>
    <sheetView showGridLines="0" workbookViewId="0"/>
  </sheetViews>
  <sheetFormatPr defaultRowHeight="13.8"/>
  <cols>
    <col min="1" max="1" width="22" customWidth="1"/>
    <col min="2" max="2" width="28" customWidth="1"/>
    <col min="3" max="3" width="40" customWidth="1"/>
    <col min="4" max="4" width="28" customWidth="1"/>
  </cols>
  <sheetData>
    <row r="1" spans="1:4" ht="36" customHeight="1">
      <c r="A1" s="1" t="s">
        <v>389</v>
      </c>
      <c r="B1" s="2" t="s">
        <v>390</v>
      </c>
      <c r="C1" s="2" t="s">
        <v>391</v>
      </c>
      <c r="D1" s="3" t="s">
        <v>285</v>
      </c>
    </row>
    <row r="2" spans="1:4">
      <c r="A2" s="4" t="s">
        <v>392</v>
      </c>
      <c r="B2" s="4" t="s">
        <v>393</v>
      </c>
      <c r="C2" s="4" t="s">
        <v>394</v>
      </c>
      <c r="D2" s="4" t="s">
        <v>395</v>
      </c>
    </row>
    <row r="3" spans="1:4">
      <c r="A3" s="5" t="s">
        <v>392</v>
      </c>
      <c r="B3" s="5" t="s">
        <v>396</v>
      </c>
      <c r="C3" s="5" t="s">
        <v>397</v>
      </c>
      <c r="D3" s="5" t="s">
        <v>398</v>
      </c>
    </row>
    <row r="4" spans="1:4">
      <c r="A4" s="5" t="s">
        <v>392</v>
      </c>
      <c r="B4" s="5" t="s">
        <v>399</v>
      </c>
      <c r="C4" s="5" t="s">
        <v>400</v>
      </c>
      <c r="D4" s="5" t="s">
        <v>401</v>
      </c>
    </row>
    <row r="5" spans="1:4">
      <c r="A5" s="5" t="s">
        <v>392</v>
      </c>
      <c r="B5" s="5" t="s">
        <v>402</v>
      </c>
      <c r="C5" s="5">
        <v>9.8066499999999994</v>
      </c>
      <c r="D5" s="5" t="s">
        <v>403</v>
      </c>
    </row>
    <row r="6" spans="1:4">
      <c r="A6" s="5" t="s">
        <v>392</v>
      </c>
      <c r="B6" s="5" t="s">
        <v>404</v>
      </c>
      <c r="C6" s="5" t="s">
        <v>405</v>
      </c>
      <c r="D6" s="5" t="s">
        <v>406</v>
      </c>
    </row>
    <row r="7" spans="1:4">
      <c r="A7" s="5" t="s">
        <v>392</v>
      </c>
      <c r="B7" s="5" t="s">
        <v>407</v>
      </c>
      <c r="C7" s="23">
        <v>46246</v>
      </c>
      <c r="D7" s="5" t="s">
        <v>408</v>
      </c>
    </row>
    <row r="8" spans="1:4">
      <c r="A8" s="5" t="s">
        <v>409</v>
      </c>
      <c r="B8" s="5" t="s">
        <v>409</v>
      </c>
      <c r="C8" s="5" t="s">
        <v>69</v>
      </c>
      <c r="D8" s="5" t="s">
        <v>410</v>
      </c>
    </row>
    <row r="9" spans="1:4">
      <c r="A9" s="5" t="s">
        <v>409</v>
      </c>
      <c r="B9" s="5" t="s">
        <v>409</v>
      </c>
      <c r="C9" s="5" t="s">
        <v>22</v>
      </c>
      <c r="D9" s="5" t="s">
        <v>410</v>
      </c>
    </row>
    <row r="10" spans="1:4">
      <c r="A10" s="5" t="s">
        <v>409</v>
      </c>
      <c r="B10" s="5" t="s">
        <v>409</v>
      </c>
      <c r="C10" s="5" t="s">
        <v>61</v>
      </c>
      <c r="D10" s="5" t="s">
        <v>410</v>
      </c>
    </row>
    <row r="11" spans="1:4">
      <c r="A11" s="5" t="s">
        <v>409</v>
      </c>
      <c r="B11" s="5" t="s">
        <v>409</v>
      </c>
      <c r="C11" s="5" t="s">
        <v>183</v>
      </c>
      <c r="D11" s="5" t="s">
        <v>410</v>
      </c>
    </row>
    <row r="12" spans="1:4">
      <c r="A12" s="5" t="s">
        <v>411</v>
      </c>
      <c r="B12" s="5" t="s">
        <v>411</v>
      </c>
      <c r="C12" s="5" t="s">
        <v>23</v>
      </c>
      <c r="D12" s="5" t="s">
        <v>410</v>
      </c>
    </row>
    <row r="13" spans="1:4">
      <c r="A13" s="5" t="s">
        <v>411</v>
      </c>
      <c r="B13" s="5" t="s">
        <v>411</v>
      </c>
      <c r="C13" s="5" t="s">
        <v>62</v>
      </c>
      <c r="D13" s="5" t="s">
        <v>410</v>
      </c>
    </row>
    <row r="14" spans="1:4">
      <c r="A14" s="6" t="s">
        <v>411</v>
      </c>
      <c r="B14" s="6" t="s">
        <v>411</v>
      </c>
      <c r="C14" s="6" t="s">
        <v>183</v>
      </c>
      <c r="D14" s="6" t="s">
        <v>410</v>
      </c>
    </row>
  </sheetData>
  <phoneticPr fontId="4" type="noConversion"/>
  <pageMargins left="0.7" right="0.7" top="0.75" bottom="0.75" header="0.3" footer="0.3"/>
  <drawing r:id="rId1"/>
  <legacy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Materials</vt:lpstr>
      <vt:lpstr>PropertyRules</vt:lpstr>
      <vt:lpstr>Sections</vt:lpstr>
      <vt:lpstr>RC_Sections</vt:lpstr>
      <vt:lpstr>Sources</vt:lpstr>
      <vt:lpstr>Validation</vt:lpstr>
      <vt:lpstr>Meta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김세현</dc:creator>
  <cp:lastModifiedBy>세현 김</cp:lastModifiedBy>
  <dcterms:modified xsi:type="dcterms:W3CDTF">2026-08-12T14:00:33Z</dcterms:modified>
</cp:coreProperties>
</file>